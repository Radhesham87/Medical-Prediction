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AMS College List" sheetId="1" r:id="rId1"/>
  </sheets>
  <definedNames>
    <definedName name="_xlnm._FilterDatabase" localSheetId="0" hidden="1">'BAMS College List'!$A$1:$D$239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ASPIRE</author>
    <author>Claude</author>
  </authors>
  <commentList>
    <comment ref="C1" authorId="0">
      <text>
        <r>
          <rPr>
            <sz val="10"/>
            <rFont val="SimSun"/>
            <charset val="134"/>
          </rPr>
          <t>AIR 2025 = Last All India Rank (Closing), NEET-UG 2025. Marks = NEET Score.
Karnataka filled from Karnataka AYUSH 2025 Round-2 (OPN closing ranks, private BAMS).
Other states still blank (no cutoff source provided yet).</t>
        </r>
      </text>
    </comment>
    <comment ref="Q1" authorId="1">
      <text>
        <r>
          <rPr>
            <sz val="10"/>
            <rFont val="SimSun"/>
            <charset val="134"/>
          </rPr>
          <t>Annual BAMS fees in INR for the seat type open to other-state candidates (management/open quota, not NRI; see Fee Quota Basis), most recent session found (mostly 2025-26). Hostel &amp; mess excluded. Total Annual Fee = Tuition + Development + Other (formula).</t>
        </r>
      </text>
    </comment>
    <comment ref="W1" authorId="1">
      <text>
        <r>
          <rPr>
            <sz val="10"/>
            <rFont val="SimSun"/>
            <charset val="134"/>
          </rPr>
          <t>Annual fee payable at admission by a candidate of each category on that seat type. Scholarships reimbursed later are not deducted; domicile-only state concessions do not apply to other-state candidates. See "Category Fee Note".</t>
        </r>
      </text>
    </comment>
  </commentList>
</comments>
</file>

<file path=xl/sharedStrings.xml><?xml version="1.0" encoding="utf-8"?>
<sst xmlns="http://schemas.openxmlformats.org/spreadsheetml/2006/main" count="3456" uniqueCount="1680">
  <si>
    <t>College Name</t>
  </si>
  <si>
    <t>State</t>
  </si>
  <si>
    <t>AIR 2025</t>
  </si>
  <si>
    <t>Marks</t>
  </si>
  <si>
    <t>Type</t>
  </si>
  <si>
    <t>Established Year</t>
  </si>
  <si>
    <t>City</t>
  </si>
  <si>
    <t>Address</t>
  </si>
  <si>
    <t>Phone</t>
  </si>
  <si>
    <t>Email</t>
  </si>
  <si>
    <t>Website</t>
  </si>
  <si>
    <t>Total Seats</t>
  </si>
  <si>
    <t>Course Availables</t>
  </si>
  <si>
    <t>Facilities</t>
  </si>
  <si>
    <t>Hostel Available(Yes or No)</t>
  </si>
  <si>
    <t>Tuition Fee</t>
  </si>
  <si>
    <t>Development Fee</t>
  </si>
  <si>
    <t>Other Fees Total</t>
  </si>
  <si>
    <t>Total Annual Fee</t>
  </si>
  <si>
    <t>Fee Quota Basis</t>
  </si>
  <si>
    <t>Fee Source / Note</t>
  </si>
  <si>
    <t>Open Fee</t>
  </si>
  <si>
    <t>OBC Fee</t>
  </si>
  <si>
    <t>EWS Fee</t>
  </si>
  <si>
    <t>SC Fee</t>
  </si>
  <si>
    <t>ST Fee</t>
  </si>
  <si>
    <t>Category Fee Note</t>
  </si>
  <si>
    <t>A.G.M Ayurvedic Medical College and Hospital, Algur RC, Jamkhandi, Bagalkot-587301</t>
  </si>
  <si>
    <t>Karnataka</t>
  </si>
  <si>
    <t>Private</t>
  </si>
  <si>
    <t>Jamkhandi</t>
  </si>
  <si>
    <t>Opp. Algur RC, Vijayapur Road, Jamkhandi-587301, Bagalkot District, Karnataka</t>
  </si>
  <si>
    <t>+91 9964326600</t>
  </si>
  <si>
    <t>agmayujmk@gmail.com</t>
  </si>
  <si>
    <t>https://agmamcj.com/</t>
  </si>
  <si>
    <t>BAMS</t>
  </si>
  <si>
    <t>Attached Ayurveda hospital, Pharmacy, Hostel</t>
  </si>
  <si>
    <t>Yes</t>
  </si>
  <si>
    <t>Private management/open quota BAMS, Karnataka AYUSH (KEA) counselling</t>
  </si>
  <si>
    <t>Karnataka fixes BAMS private-college fees per college via KEA AYUSH counselling / state Fee Regulatory Committee; an official college-wise 2025-26 fee order was not accessible online, so an exact figure for this college could not be confirmed. | Not found; general Karnataka private BAMS range (Rs.2-5 lakh/yr) reported by admissionxpert.in / edufever.com but no college-specific figure located.</t>
  </si>
  <si>
    <t>Not determined - no verified fee figure found for this college.</t>
  </si>
  <si>
    <t>A.V. Samiti's Ayurvedic Mahavidyalaya,Bagalkote Road,Vidyanagar,Bijapur-586109</t>
  </si>
  <si>
    <t>Bijapur</t>
  </si>
  <si>
    <t>Vidya Nagar, Bagalkot Road, Bijapur (Vijayapura) - 586101, Karnataka</t>
  </si>
  <si>
    <t>08352-262770</t>
  </si>
  <si>
    <t>bldeaavsamv@gmail.com</t>
  </si>
  <si>
    <t>https://bldeaavsamv.ac.in/</t>
  </si>
  <si>
    <t>BAMS, MD (Ayurveda), MS (Ayurveda)</t>
  </si>
  <si>
    <t>Attached 150-bed Ayurveda hospital</t>
  </si>
  <si>
    <t>Total course fee reported as approx. Rs.1,85,000 for the BAMS course; divided here by 5 academic years to estimate an annual figure</t>
  </si>
  <si>
    <t>Management quota annual fee 2025-26; State quota Rs 75,000, All India quota Rs 2,50,000, NRI Rs 6,00,000 also listed (filled in gap-fill pass) | edufever.com AVS Ayurveda College Bijapur fee page</t>
  </si>
  <si>
    <t>Not determined - underlying fee figure itself is unverified.</t>
  </si>
  <si>
    <t>Achutha Ayurveda Medcial College Hospital and Research Center,Baglur Post, Bangalore-562149</t>
  </si>
  <si>
    <t>Bengaluru</t>
  </si>
  <si>
    <t>Gopalapura, Baglur Post, Bengaluru-562149, Karnataka</t>
  </si>
  <si>
    <t>+918480209839</t>
  </si>
  <si>
    <t>info@achuthainstitutions.com</t>
  </si>
  <si>
    <t>http://www.achuthaayurveda.com/</t>
  </si>
  <si>
    <t>Well-equipped departments, Herbal garden (100+ species), Hospital, Separate boys/girls hostel</t>
  </si>
  <si>
    <t>Karnataka fixes BAMS private-college fees per college via KEA AYUSH counselling / state Fee Regulatory Committee; an official college-wise 2025-26 fee order was not accessible online, so an exact figure for this college could not be confirmed. Seat count also reported elsewhere as 60; 100 used per most recent source. | Not found; general Karnataka private BAMS range (Rs.2-5 lakh/yr) reported by admissionxpert.in / edufever.com but no college-specific figure located.</t>
  </si>
  <si>
    <t>Adichunchanagiri Ayurveda Medical College,Hospital and Research Centre, Survey No. 112, Nagaruru, Dasanapu Hobli,Nelamangala, Bangalore</t>
  </si>
  <si>
    <t>Nelamangala</t>
  </si>
  <si>
    <t>Survey No. 112, Nagaruru, Dasanapura Hobli, Nelamangala, Bengaluru, Karnataka</t>
  </si>
  <si>
    <t>+91 9886414563</t>
  </si>
  <si>
    <t>clcamc20@gmail.com</t>
  </si>
  <si>
    <t>https://www.acamc.org/</t>
  </si>
  <si>
    <t>Attached Ayurveda hospital (100 beds, 10 OPDs with X-ray/ultrasound/pathology/pharmacy), Herbal garden (400+ species), Library (20,000+ volumes), Modern labs</t>
  </si>
  <si>
    <t>Management quota annual fee; total intake 100 seats (mgmt quota 60) (filled in gap-fill pass) | careermudhra.com Adichunchanagiri Ayurvedic Medical College page</t>
  </si>
  <si>
    <t>Alva's Ayurvedic Medical College, Moodbidre, South Canara, Dist Dakshin Kannada - 574227</t>
  </si>
  <si>
    <t>Moodbidre</t>
  </si>
  <si>
    <t>Vidyagiri, Moodbidre, South Canara, Dakshina Kannada District, Karnataka - 574227</t>
  </si>
  <si>
    <t>08258-238104 to 238111</t>
  </si>
  <si>
    <t>info@alvas.org</t>
  </si>
  <si>
    <t>https://alvas.org/institutions/alvas-ayurveda-medical-college/</t>
  </si>
  <si>
    <t>Attached hospital (250 beds, multi-specialty incl. Panchakarma/Ksharasutra), Herbal garden (500+ species, 150 acres), Research labs and museums, Pharmacy</t>
  </si>
  <si>
    <t>Total BAMS course fee reported as approx. Rs.12.5 lakh; divided here by 5 academic years to estimate an annual figure</t>
  </si>
  <si>
    <t>Only a total course fee was found; divided by 5 years (BAMS academic duration is 4.5 years plus 1-year internship) to estimate the annual figure. Figure could not be cross-verified against an official source. | Aggregator estimate (turtleedu.in / admissionpro.in), not an official KEA/college fee notice</t>
  </si>
  <si>
    <t>Amrutha Ayurvedic Medical College,Doddapete,Behind Onake Obavva,Chitradurga</t>
  </si>
  <si>
    <t>Chitradurga</t>
  </si>
  <si>
    <t>Doddapete, Behind Onake Obavva, Chitradurga, Karnataka</t>
  </si>
  <si>
    <t>08194-234866</t>
  </si>
  <si>
    <t>principalamrutha2016@gmail.com / amruthaayurcta@gmail.com</t>
  </si>
  <si>
    <t>https://www.amruthaayurcta.org/</t>
  </si>
  <si>
    <t>Classrooms, Labs (14 departments), Herbal garden, Hospital (OPD/IPD), Hostel (boys/girls), Auditorium</t>
  </si>
  <si>
    <t>Private management/open quota BAMS tuition fee (reported circa 2019)</t>
  </si>
  <si>
    <t>(filled in gap-fill pass) | shiksha.com Amrutha Ayurveda Medical College BAMS fees page</t>
  </si>
  <si>
    <t>Not determined - figure is dated (2019) and unverified for current session.</t>
  </si>
  <si>
    <t>Aroor Laxminarayana Rao Memorial Ayurvedic Medical College, Koppa-577126 Dist Chikkamagalur</t>
  </si>
  <si>
    <t>Koppa</t>
  </si>
  <si>
    <t>Koppa, Chikkamagalur District, Karnataka - 577126</t>
  </si>
  <si>
    <t>+91 8217858036</t>
  </si>
  <si>
    <t>alnrmamc@yahoo.com</t>
  </si>
  <si>
    <t>http://www.alnrmamc.com</t>
  </si>
  <si>
    <t>Herbal garden (7.5 acres, hundreds of medicinal plant species)</t>
  </si>
  <si>
    <t>Karnataka fixes BAMS private-college fees per college via KEA AYUSH counselling / state Fee Regulatory Committee; an official college-wise 2025-26 fee order was not accessible online, so an exact figure for this college could not be confirmed. Seat count also reported elsewhere as 50. | Not found; general Karnataka private BAMS range (Rs.2-5 lakh/yr) reported by admissionxpert.in / edufever.com but no college-specific figure located.</t>
  </si>
  <si>
    <t>Ashwini Ayurvedic Medical College &amp; Research Centre, Ring Road, Maralur Tq-572105, Tumakuru.</t>
  </si>
  <si>
    <t>Tumakuru</t>
  </si>
  <si>
    <t>Ring Road, Maralur, Tumakuru - 572105, Karnataka</t>
  </si>
  <si>
    <t>0816-2956578</t>
  </si>
  <si>
    <t>ashwiniayu@gmail.com / aamc_tumkur@rediffmail.com</t>
  </si>
  <si>
    <t>http://www.aamctumkur.com</t>
  </si>
  <si>
    <t>Hospital (200 beds), Library, Labs, Dissection hall, Herbal garden, Pharmacy, Auditorium, Hostels, Cafeteria, Sports complex</t>
  </si>
  <si>
    <t>Management quota approx figure; govt quota ~Rs 90,000, NRI ~Rs 12 lakh also cited (filled in gap-fill pass) | blog.rmgoe.org / ayurveda-colleges.com Ashwini Tumkur fee pages</t>
  </si>
  <si>
    <t>Ashwini Educational Association's Ayurveda Medical College &amp; PG Centre, #405/1, Opp, Bathi Lake, "Aswini Nagar" P.B.Road, Dist, Davangere-577566</t>
  </si>
  <si>
    <t>Davangere</t>
  </si>
  <si>
    <t>#405/1, Opp. Bathi Lake, Ashwini Nagar, P.B. Road, Davangere - 577566, Karnataka</t>
  </si>
  <si>
    <t>+91 94498 23088 / +91 87920 46530</t>
  </si>
  <si>
    <t>aamcdvg@gmail.com</t>
  </si>
  <si>
    <t>https://www.amcdvg.com/</t>
  </si>
  <si>
    <t>14-acre campus</t>
  </si>
  <si>
    <t>Atreya Charitable Trust?s, Atreya Ayurvedic Medical College, Hospital &amp; Research Centre, Kodigehalli (Post), Doddaballapura Taluk, Bengaluru ? 561 203.</t>
  </si>
  <si>
    <t>Doddaballapura</t>
  </si>
  <si>
    <t>Kakkali Road, Kodigehalli (Post), Doddaballapura Taluk, Bengaluru - 561203, Karnataka</t>
  </si>
  <si>
    <t>+91-9743277777</t>
  </si>
  <si>
    <t>office@atreyainstitution.com</t>
  </si>
  <si>
    <t>https://www.atreyainstitution.com/</t>
  </si>
  <si>
    <t>Attached 100-bed Ayurveda hospital, 10-acre campus, Herbal garden, Pharmacy, Canteen</t>
  </si>
  <si>
    <t>Ayurveda Mahavidyalaya &amp; Hospital, Heggeri Extension, Old Hubli - 508824.</t>
  </si>
  <si>
    <t>Hubballi</t>
  </si>
  <si>
    <t>Dr. G.H. Desai Nava Ayodhya Nagar, Heggeri Extension, Old Hubli, Hubballi - 580024, Karnataka</t>
  </si>
  <si>
    <t>+91-9448114773</t>
  </si>
  <si>
    <t>amvhhubli54@gmail.com</t>
  </si>
  <si>
    <t>http://www.ayurvedacollegehubli.org/</t>
  </si>
  <si>
    <t>BAMS, MD (Ayurveda), Ph.D (Ayurveda)</t>
  </si>
  <si>
    <t>Hospital (120 beds, general/special wards), Laboratory (7-day), X-ray, ECG, Operation Theatre</t>
  </si>
  <si>
    <t>Founded in 1954 by Hubli Ayurveda Seva Samiti (long-established trust college); could not confirm whether it holds management/open (non-domicile) seats or is fully state-quota, nor confirm the fee figure's basis. Left as unverified rather than guessed. | A figure of 'Rs.1.28 lakh' for BAMS appears on edutechagra.com but it is unclear whether this is annual or total, and for which seat category.</t>
  </si>
  <si>
    <t>Not determined - underlying fee figure and its basis (annual vs total, seat category) is unverified.</t>
  </si>
  <si>
    <t>Bagamar Seva Samiti's Bhagwan Mahaveer Jain Ayurvedic Medical College &amp; Hospital, Rona Taluk, Gajendraghad, Gadag Dist.-582114</t>
  </si>
  <si>
    <t>Gajendragad</t>
  </si>
  <si>
    <t>Gajendragad - 582114, Gadag District, Karnataka</t>
  </si>
  <si>
    <t>+91 9448013359 / 9448132552</t>
  </si>
  <si>
    <t>info@bmjamc.org</t>
  </si>
  <si>
    <t>https://bmjamc.org/</t>
  </si>
  <si>
    <t>BAMS, MD (Ayurveda), MS (Ayurveda), Ph.D (Ayurveda)</t>
  </si>
  <si>
    <t>Attached 200-bed teaching hospital, Panchakarma unit, Medicinal plant conservatory (350+ species), Research laboratories</t>
  </si>
  <si>
    <t>Private/management quota range cited Rs 2,72,250-3,01,500; used lower bound (filled in gap-fill pass) | shiksha.com Bhagawan Mahaveer Jain Ayurvedic Medical College fee page</t>
  </si>
  <si>
    <t>Bapuji Ayurveda Medical College &amp; Hosp, Opp A G College, Channamumbapura, Rajendra Nagara, Sowlanga Road, Shivamogga - 577204</t>
  </si>
  <si>
    <t>Shivamogga</t>
  </si>
  <si>
    <t>Opp. A.G. College, Channamumbapura, Rajendra Nagara, Sowlanga Road, Shivamogga - 577204, Karnataka</t>
  </si>
  <si>
    <t>08182-222286 / 8762036760 / 9448139846</t>
  </si>
  <si>
    <t>https://bamcshimoga.org/</t>
  </si>
  <si>
    <t>Administrative block, Attached hospital, Anatomy museum, Operation theatre, Library, Classrooms, Panchakarma unit, Hostel (10-acre campus)</t>
  </si>
  <si>
    <t>Could not be researched in detail (web search budget for this session was exhausted); only the input name/address is used. | Not found - WebSearch quota was exhausted before this college could be researched.</t>
  </si>
  <si>
    <t>Not determined - college not researched due to search budget exhaustion.</t>
  </si>
  <si>
    <t>Bapuji Ayurvedic Medical College &amp; Hospital, Bapuji Campus, T.R.Nagar, Challakere-577522, Chitradurga.</t>
  </si>
  <si>
    <t>Challakere</t>
  </si>
  <si>
    <t>Bapuji Campus, T.R. Nagar, Challakere - 577522, Chitradurga District, Karnataka</t>
  </si>
  <si>
    <t>+91 9448238880 / +91 9127588507 / +91 8195250007</t>
  </si>
  <si>
    <t>bamc.in@gmail.com</t>
  </si>
  <si>
    <t>http://bamcclk.com/</t>
  </si>
  <si>
    <t>Private management/open quota (as published for this college)</t>
  </si>
  <si>
    <t>Private quota ~Rs 2,50,750/yr; NRI/management up to Rs 4,00,000; State quota ~Rs 75,000 (filled in gap-fill pass) | edufever.com Bapuji Ayurvedic Medical College Challakere fee page</t>
  </si>
  <si>
    <t>Cauvery Ayurvedic Medical College &amp; Hospital, 131/01, 2D, 2E, 2F, KBL Layout, Devegowda circle, Mysuru-570028</t>
  </si>
  <si>
    <t>Mysuru</t>
  </si>
  <si>
    <t>#131/1, 2D, 2E, 2F, KBL Layout, Devegowda Circle, Mysuru - 570028, Karnataka</t>
  </si>
  <si>
    <t>+91-95359 35393</t>
  </si>
  <si>
    <t>2023ayu0798@gmail.com</t>
  </si>
  <si>
    <t>https://cauverygroupofinstitutions.com/</t>
  </si>
  <si>
    <t>Attached 60-bed teaching hospital (established 2019)</t>
  </si>
  <si>
    <t>DBHPSs Shri C.B.Guttal Ayurvedic Medical College, Shri R F Neeralkatti Educational Campus, Dharwad-580001</t>
  </si>
  <si>
    <t>Dharwad</t>
  </si>
  <si>
    <t>Mummigatti, Garag Cross, NH-4, Dharwad, Karnataka</t>
  </si>
  <si>
    <t>0836-2486951</t>
  </si>
  <si>
    <t>cbgamcdwd0014@gmail.com</t>
  </si>
  <si>
    <t>http://cbguttalamc.in/</t>
  </si>
  <si>
    <t>Karnataka fixes BAMS private-college fees per college via KEA AYUSH counselling / state Fee Regulatory Committee; an official college-wise 2025-26 fee order was not accessible online, so an exact figure for this college could not be confirmed. Run by Dakshin Bharat Hindi Prachar Sabha. | Not found; general Karnataka private BAMS range (Rs.2-5 lakh/yr) reported by admissionxpert.in / edufever.com but no college-specific figure located.</t>
  </si>
  <si>
    <t>Dharmasthala Manjunatheshwara Institute of Ayurveda and Hospital Anchepalya, Kumbalgodu Post, Bengaluru, Karnataka-560074</t>
  </si>
  <si>
    <t>Bangalore-Mysore Highway, Anchepalya, Kumbalagodu, Chalaghatta, Bengaluru - 560074, Karnataka</t>
  </si>
  <si>
    <t>080-68785082 (College) / 97415 62586</t>
  </si>
  <si>
    <t>sdmcabh@gmail.com</t>
  </si>
  <si>
    <t>https://www.sdmayurbangalore.in/</t>
  </si>
  <si>
    <t>Attached Ayurveda hospital (OPD/IPD, Panchakarma, diagnostics)</t>
  </si>
  <si>
    <t>Karnataka fixes BAMS private-college fees per college via KEA AYUSH counselling / state Fee Regulatory Committee; an official college-wise 2025-26 fee order was not accessible online, so an exact figure for this college could not be confirmed. Run by SDM Educational Society. | Not found; general Karnataka private BAMS range (Rs.2-5 lakh/yr) reported by admissionxpert.in / edufever.com but no college-specific figure located.</t>
  </si>
  <si>
    <t>Dr. Basavaraj Nagur Memorial Trust, DR. B.N.M. RURAL AYURVEDA MEDICAL COLLEGE &amp; Hosp, SMT. SUSHILADEVI, NAGUR COLONY COLLEGE ROAD, BIJAPUR-586101</t>
  </si>
  <si>
    <t>Smt. Sushila Devi Nagur Colony, College Road, Bijapur (Vijayapura) - 586101, Karnataka</t>
  </si>
  <si>
    <t>08352-253460</t>
  </si>
  <si>
    <t>Management quota BAMS tuition fee (30 of 50 seats are Management quota; remainder are AACCC All-India Quota and KEA State Quota)</t>
  </si>
  <si>
    <t>Reported annual tuition Rs.2,00,500 plus hostel Rs.2,000/month (hostel excluded per instructions); year of this figure not explicitly dated, treat as approximate. | shiksha.com - Dr B.N.M Rural Ayurvedic Medical College Fees page</t>
  </si>
  <si>
    <t>No category-wise fee difference found for the management-quota seat; same fee is understood to apply to all categories in this quota.</t>
  </si>
  <si>
    <t>Dr.Ravi Patil Ayurveda Medical College and Hospital,Honaga,Belagavi-591156</t>
  </si>
  <si>
    <t>Belagavi</t>
  </si>
  <si>
    <t>CS 144/1, NH Service Road, Honaga, Belagavi - 591156, Karnataka</t>
  </si>
  <si>
    <t>drkirankhot@gmail.com</t>
  </si>
  <si>
    <t>https://drravipatilayurveda.com/</t>
  </si>
  <si>
    <t>Attached 60+ bed hospital (8 specialty departments), Herbal garden (300+ medicinal plants)</t>
  </si>
  <si>
    <t>Karnataka fixes BAMS private-college fees per college via KEA AYUSH counselling / state Fee Regulatory Committee; an official college-wise 2025-26 fee order was not accessible online, so an exact figure for this college could not be confirmed. Run by Karnatak Lingayat Education (KLE) Society. | Not found; general Karnataka private BAMS range (Rs.2-5 lakh/yr) reported by admissionxpert.in / edufever.com but no college-specific figure located.</t>
  </si>
  <si>
    <t>Hillside Ayurveda Medical College &amp; Hospital, No.174/2, Saladoddi, Agara Village, Bengaluru ? 560062.</t>
  </si>
  <si>
    <t>No.174/2, Saladoddi Village, Kanakapura Main Road, Agara, Bengaluru - 560082, Karnataka</t>
  </si>
  <si>
    <t>9243788820 / 9243788843 / +91 9243788832</t>
  </si>
  <si>
    <t>info@hillsideayurveda.com</t>
  </si>
  <si>
    <t>https://hillsideayurveda.com/</t>
  </si>
  <si>
    <t>12-acre campus</t>
  </si>
  <si>
    <t>Hita Ayurvedic Medical College, Hospital &amp; Research Centre, No. 64, Doddabidarukallu, Gangondanahalli Main Road, Nagasandra Post, Bangalore-560073</t>
  </si>
  <si>
    <t>No. 64, Doddabidarukallu, Gangondanahalli Main Road, Nagasandra Post, Bengaluru - 560073, Karnataka</t>
  </si>
  <si>
    <t>080-67169088 / 6360641424 / 9620912991</t>
  </si>
  <si>
    <t>hita.amc@gmail.com</t>
  </si>
  <si>
    <t>https://hitaeducationinstitutions.in/</t>
  </si>
  <si>
    <t>6-acre campus</t>
  </si>
  <si>
    <t>HKDE Trust's Basavaraj Patil Memorial Ayurvedic medical college, Hospital &amp; Research centre, Humnabad-560073, Bidar.</t>
  </si>
  <si>
    <t>Humnabad</t>
  </si>
  <si>
    <t>NH-65, Veerabhadragiri, Sindenkera Cross, Humnabad, Bidar District - 585330, Karnataka</t>
  </si>
  <si>
    <t>9343666666 (Chairman) / 7975828982 (Principal)</t>
  </si>
  <si>
    <t>basavarajpatilamc@gmail.com</t>
  </si>
  <si>
    <t>https://bpmamch.in/</t>
  </si>
  <si>
    <t>Karnataka fixes BAMS private-college fees per college via KEA AYUSH counselling / state Fee Regulatory Committee; an official college-wise 2025-26 fee order was not accessible online, so an exact figure for this college could not be confirmed. Run by HKDE Trust. | Not found; general Karnataka private BAMS range (Rs.2-5 lakh/yr) reported by admissionxpert.in / edufever.com but no college-specific figure located.</t>
  </si>
  <si>
    <t>Indian Institute of Ayurvedic Medicine &amp; Research,Lingadeeragollahhalli, Kundana,hobli, near Kempegowda International Airport, Bengaluru,562110</t>
  </si>
  <si>
    <t>Lingadeeragollahalli, Kundana Hobli, Devanahalli Taluk, Bengaluru - 562110, Karnataka</t>
  </si>
  <si>
    <t>Private quota BAMS seat (as distinct from government-quota seat reported at Rs.75,000/yr at same college)</t>
  </si>
  <si>
    <t>Private-category seat fee at this college reported as Rs.2,50,000/year vs Rs.75,000/year for the government-quota seat, in KEA 2025 allotment-round data; treated here as the relevant figure for an other-state candidate on a private-quota seat. | careers360.com IIAMR Bangalore admission page (referencing 2025 KEA allotment fee data)</t>
  </si>
  <si>
    <t>No category-wise (OBC/EWS/SC/ST) difference found within the private-quota seat; the Rs.75,000 figure applies only to the separate government-quota seat, not to private/open seats.</t>
  </si>
  <si>
    <t>J.S.S. Ayurvedic Medical College,Shri Shivarathreeshwara Nagar, Mysuru - 570015</t>
  </si>
  <si>
    <t>41/E, Lalithadripura Road, Sri Shivarathreeshwara Nagar, Mysuru, Karnataka</t>
  </si>
  <si>
    <t>0821-2548360 / 9686677218</t>
  </si>
  <si>
    <t>college@jssamch.org</t>
  </si>
  <si>
    <t>https://jssayurvedacollege.org/</t>
  </si>
  <si>
    <t>Computerized library, Green campus with herbal garden, Well-equipped labs, Attached JSSAMC Hospital, Pharmacy</t>
  </si>
  <si>
    <t>Karnataka fixes BAMS private-college fees per college via KEA AYUSH counselling / state Fee Regulatory Committee; an official college-wise 2025-26 fee order was not accessible online, so an exact figure for this college could not be confirmed. Run by JSS Mahavidyapeetha (Trust); seat count also reported as 54 elsewhere. | Not found; general Karnataka private BAMS range (Rs.2-5 lakh/yr) reported by admissionxpert.in / edufever.com but no college-specific figure located.</t>
  </si>
  <si>
    <t>Jain AGM Ayurveda Medical College &amp; Hospital, At/Post Navagrahateertha, N.H-4 Road, VarurChabbi-581207, Tq. Hubblli, Distt. Dharward,</t>
  </si>
  <si>
    <t>Shri Navagraha Teertha Kshetra, NH-4 Road, Varur-Chabbi - 581207, Hubballi, Dharwad District, Karnataka</t>
  </si>
  <si>
    <t>8431369128</t>
  </si>
  <si>
    <t>jainagmamchvarur@gmail.com</t>
  </si>
  <si>
    <t>https://jainagmamchvarur.com/</t>
  </si>
  <si>
    <t>Private management/open quota BAMS (36 of 60 seats are Management quota; remainder are AACCC All-India Quota and KEA State Quota)</t>
  </si>
  <si>
    <t>Karnataka fixes BAMS private-college fees per college via KEA AYUSH counselling / state Fee Regulatory Committee; an official college-wise 2025-26 fee order was not accessible online, so an exact figure for this college could not be confirmed. Run by S.D.M. Jainmatt Trust. | Not found; general Karnataka private BAMS range (Rs.2-5 lakh/yr) reported by admissionxpert.in / edufever.com but no college-specific figure located.</t>
  </si>
  <si>
    <t>JSVV Samsthe's Danappa Gurushiddappa Melmalagi Ayurveda Medical College, Hospital, Dr Savadi Road, Shivananda Nagar Ta &amp; Dit. Gadag-582103.</t>
  </si>
  <si>
    <t>Gadag</t>
  </si>
  <si>
    <t>Dr Savadi Road, Shivananda Nagar, Gadag - 582103, Karnataka</t>
  </si>
  <si>
    <t>BAMS, MD (Ayurveda Dravyaguna Vigyan), MD (Rasashastra and Bhaishajya Kalpana), MD (Kayachikitsa), MD (Panchakarma)</t>
  </si>
  <si>
    <t>Karnataka fixes BAMS private-college fees per college via KEA AYUSH counselling / state Fee Regulatory Committee; an official college-wise 2025-26 fee order was not accessible online, so an exact figure for this college could not be confirmed. Run by JSVV Samsthe. | Not found; general Karnataka private BAMS range (Rs.2-5 lakh/yr) reported by admissionxpert.in / edufever.com but no college-specific figure located.</t>
  </si>
  <si>
    <t>K.V.G. Ayurvedic Medical College &amp; Hosp, Ambate adka, Sulia, D.K. Dist - 574327</t>
  </si>
  <si>
    <t>Sullia</t>
  </si>
  <si>
    <t>Ambateadka, Sullia Taluk, Dakshina Kannada District - 574327, Karnataka</t>
  </si>
  <si>
    <t>+91 8257233608 / 233208 / 233808</t>
  </si>
  <si>
    <t>kvgamch@yahoo.com</t>
  </si>
  <si>
    <t>https://kvgamch.org/</t>
  </si>
  <si>
    <t>BAMS, MS (Ayurveda - Shalyatantra), MD (Ayurveda - Kayachikitsa, Panchakarma, Dravyaguna)</t>
  </si>
  <si>
    <t>Departments (Rasashastra &amp; Bhaishajya Kalpana, Dravyaguna, Kriya Shareera, Rachana Shareera etc.), Attached hospital, Pharmacy, Research centre</t>
  </si>
  <si>
    <t>Karnataka fixes BAMS private-college fees per college via KEA AYUSH counselling / state Fee Regulatory Committee; an official college-wise 2025-26 fee order was not accessible online, so an exact figure for this college could not be confirmed. Run by Academy of Liberal Education. | Not found; general Karnataka private BAMS range (Rs.2-5 lakh/yr) reported by admissionxpert.in / edufever.com but no college-specific figure located.</t>
  </si>
  <si>
    <t>KALMATHADA PUJYA SRI VIRUPAKSHA, SHIVACHARYA AYURVEDA MEDICAL COLLEGE AND HOSPITAL, MANVI, RAICHUR - 584123</t>
  </si>
  <si>
    <t>Manvi</t>
  </si>
  <si>
    <t>Manvi, Raichur District - 584123, Karnataka</t>
  </si>
  <si>
    <t>+91 9448162595</t>
  </si>
  <si>
    <t>kpsvsmanvi@gmail.com / kalmath_edu@yahoo.co.in</t>
  </si>
  <si>
    <t>https://aayurvediccollegemanvi.org/</t>
  </si>
  <si>
    <t>Classrooms and laboratories, On-site pharmacy, Herbal garden, Central library, Hospital with Ayurvedic medicine manufacturing unit, Transport, Canteen, Student hostels</t>
  </si>
  <si>
    <t>Course fee reported as Rs.3,40,875 (interpreted here as annual)</t>
  </si>
  <si>
    <t>Source states 'fee for all courses is INR 3,40,875' without clearly specifying if this is annual or total course fee, or the seat category; taken as an approximate annual private-seat figure but unverified against an official notice. | edufever.com - KPSVS Ayurvedic College Raichur page</t>
  </si>
  <si>
    <t>Not determined - no category-wise breakup found; basis of figure (annual vs total) also unverified.</t>
  </si>
  <si>
    <t>Kannada Balaga Society's Rural Ayurvedic Medical College, Srinagar Main Double Road, Belagavi-590016</t>
  </si>
  <si>
    <t>Srinagar Main Double Road, Belagavi - 590016, Karnataka</t>
  </si>
  <si>
    <t>https://kbsruralayurvedic.com/</t>
  </si>
  <si>
    <t>Attached hospital (OPD/IPD), Herbal garden (200+ species), Pharmacognosy and Pathology laboratory, Student hostels</t>
  </si>
  <si>
    <t>Karnataka fixes BAMS private-college fees per college via KEA AYUSH counselling / state Fee Regulatory Committee; an official college-wise 2025-26 fee order was not accessible online, so an exact figure for this college could not be confirmed. Note: one source indicated the college was disaffiliated from RGUHS in 2016-17; current operational status should be independently verified. | Not found; general Karnataka private BAMS range (Rs.2-5 lakh/yr) reported by admissionxpert.in / edufever.com but no college-specific figure located.</t>
  </si>
  <si>
    <t>KARAVALI AYURVEDIC MEDICAL COLLEGE, HOSPITAL RESEARCH CENTRE,N.H. 66, NEAR KOTTARA CHOWKI,BANGRA, MANGALORE</t>
  </si>
  <si>
    <t>Mangalore</t>
  </si>
  <si>
    <t>Neermarga, N.H. 66, Near Kottara Chowki, Bangra, Mangalore, Karnataka</t>
  </si>
  <si>
    <t>Attached 60-bed Ayurveda hospital</t>
  </si>
  <si>
    <t>Old domain karavaliamc.com now serves unrelated spam content; website removed. Karnataka fixes BAMS private-college fees per college via KEA AYUSH counselling / state Fee Regulatory Committee; an official college-wise 2025-26 fee order was not accessible online, so an exact figure for this college could not be confirmed. Run by G R Education Trust. | Not found; general Karnataka private BAMS range (Rs.2-5 lakh/yr) reported by admissionxpert.in / edufever.com but no college-specific figure located.</t>
  </si>
  <si>
    <t>Karnataka Ayurvedic Medical College &amp; Hospital, K.E.C.T. Towers, Hoigebail, Ashoka Nagar Post, Mangaluru D.K. - 575006,</t>
  </si>
  <si>
    <t>Mangaluru</t>
  </si>
  <si>
    <t>KECT Towers, Hoigebail, Ashoka Nagar Post, Mangaluru - 575006, Karnataka</t>
  </si>
  <si>
    <t>+91 824-2451442 / 2454127 / 2453582</t>
  </si>
  <si>
    <t>kamc.kect@gmail.com / scsinstitutions@gmail.com</t>
  </si>
  <si>
    <t>http://www.karnatakaayurveda.com/</t>
  </si>
  <si>
    <t>Attached 160-bed hospital, Panchakarma Therapy, Ksharasutra Therapy</t>
  </si>
  <si>
    <t>Karnataka State Government Daily Wages Employee's Federation, Sanjeevini Ayurveda Medical College &amp; Hospital, Vishwashrama Chetana, Dr.K.S.Sharma Campus, Basaweshwar Nagar, Gokul Road, Hubballi-580 030</t>
  </si>
  <si>
    <t>Government-aided</t>
  </si>
  <si>
    <t>Dr. K.S. Sharma Campus, Basaveshwar Nagar, Gokul Road, Hubballi - 580030, Karnataka</t>
  </si>
  <si>
    <t>https://samchhubballi.org/</t>
  </si>
  <si>
    <t>Private/management-style quota BAMS, Karnataka AYUSH (KEA) counselling</t>
  </si>
  <si>
    <t>This college is run by the Karnataka State Government Daily Wages Employees' Federation (a welfare-society trust), not a fully private management, but participates in KEA counselling like a private college; exact fee could not be confirmed. | Not found; general Karnataka private BAMS range (Rs.2-5 lakh/yr) reported by admissionxpert.in / edufever.com but no college-specific figure located.</t>
  </si>
  <si>
    <t>KLE Ayurveda Medical College, C B Kore Polytechnic Campus, Chikodi-591201, Belagavi</t>
  </si>
  <si>
    <t>Chikodi</t>
  </si>
  <si>
    <t>C.B. Kore Polytechnic Campus, SH 12, Chikodi - 591201, Belagavi District, Karnataka</t>
  </si>
  <si>
    <t>08838-200500</t>
  </si>
  <si>
    <t>kleayuckd@gmail.com / principal@kleayuckd.org</t>
  </si>
  <si>
    <t>https://kleayuckd.org/</t>
  </si>
  <si>
    <t>Attached 130-bed teaching hospital, Panchakarma unit</t>
  </si>
  <si>
    <t>Karnataka fixes BAMS private-college fees per college via KEA AYUSH counselling / state Fee Regulatory Committee; an official college-wise 2025-26 fee order was not accessible online, so an exact figure for this college could not be confirmed. Run by KLE Society. | Not found; general Karnataka private BAMS range (Rs.2-5 lakh/yr) reported by admissionxpert.in / edufever.com but no college-specific figure located.</t>
  </si>
  <si>
    <t>KTG Ayurvedic Medical College and Hospital, Srigandhadakaval, Hegganahalli Cross, Sunkadakatte, Peenya Road, Vishwaneedam (Post), Bangalore-560091</t>
  </si>
  <si>
    <t>Srigandhadakaval, Hegganahalli Cross, Sunkadakatte Road, Vishwaneedam Post, Bengaluru - 560091, Karnataka</t>
  </si>
  <si>
    <t>+91 9845051023 / +91 9611642390 / +91 9880453539</t>
  </si>
  <si>
    <t>ktgcolleges@gmail.com / 2016ayu0421@gmail.com</t>
  </si>
  <si>
    <t>https://ktgayurveda.in/</t>
  </si>
  <si>
    <t>Attached hospital (60 beds, 10 OPDs), Diagnostic laboratory, X-ray, ECG, Operation theatre, Physiotherapy unit</t>
  </si>
  <si>
    <t>Karnataka fixes BAMS private-college fees per college via KEA AYUSH counselling / state Fee Regulatory Committee; an official college-wise 2025-26 fee order was not accessible online, so an exact figure for this college could not be confirmed. First batch reportedly commenced 2015-16. | Not found; general Karnataka private BAMS range (Rs.2-5 lakh/yr) reported by admissionxpert.in / edufever.com but no college-specific figure located.</t>
  </si>
  <si>
    <t>Kundapura Rural Ayurveda Medical College and Hospital, # 1- 57/3, Prafulla Enclave, Halady Road, Koteshwara, Kundapura576222</t>
  </si>
  <si>
    <t>Kundapura</t>
  </si>
  <si>
    <t># 1-57/3, Prafulla Enclave, Halady Road, Koteshwara, Kundapura, Udupi District - 576222</t>
  </si>
  <si>
    <t>+91 89513 80555</t>
  </si>
  <si>
    <t>kramch100@gmail.com</t>
  </si>
  <si>
    <t>https://kundapuraruralayurveda.com/</t>
  </si>
  <si>
    <t>Attached Ayurveda hospital, Library, Hostel</t>
  </si>
  <si>
    <t>Private management/other-state quota 2025-26</t>
  </si>
  <si>
    <t>Fee figure not located; college run by Amruteshwari Trust, affiliated RGUHS Bangalore | Not found in available sources</t>
  </si>
  <si>
    <t>No category-wise data found</t>
  </si>
  <si>
    <t>Latthe Education Society's Acharya Deshabhushana Ayurvedic Medical College &amp; Hosp, A/P- Bedkihal, Shamanavadi - 591 214, Chikkodi Tq, Belagavi District.</t>
  </si>
  <si>
    <t>Chikkodi</t>
  </si>
  <si>
    <t>Shantinagar, Bedkihal, Shamanavadi, Chikodi Taluk, Belagavi District - 591214</t>
  </si>
  <si>
    <t>08338 261166 / +91 9731604049</t>
  </si>
  <si>
    <t>adamch1008@gmail.com</t>
  </si>
  <si>
    <t>https://www.lesayurvediccollege.com/</t>
  </si>
  <si>
    <t>BAMS, MD (Kayachikitsa), MS (Shalakya Tantra), MD (Rachana Sharir)</t>
  </si>
  <si>
    <t>Exact current fee figure not located in available sources | edufever.com / lesayurvediccollege.com (https://www.lesayurvediccollege.com/)</t>
  </si>
  <si>
    <t>Mahaganapathy Ayurvedic Medical College,Hoysal Nagar, Haliyal Road, Dharwad -580 003</t>
  </si>
  <si>
    <t>Hoysal Nagar, Haliyal Road, Dharwad - 580003</t>
  </si>
  <si>
    <t>0836-2772421, +919886808070</t>
  </si>
  <si>
    <t>mahaganapathimamc@gmail.com</t>
  </si>
  <si>
    <t>http://mahagamc.com/</t>
  </si>
  <si>
    <t>(filled in gap-fill pass) | careers360.com BAMS course page for Mahaganapati Ayurvedic Medical College, Dharwad (matches figure also on ayushcounselling.in aggregator)</t>
  </si>
  <si>
    <t>Maharaja Education Trust , Maharaja Institute of Ayurvedic Medical Sciences and Hospital, Belavadi, Srirangapatna Taluk, Mandy</t>
  </si>
  <si>
    <t>Srirangapatna</t>
  </si>
  <si>
    <t>Belavadi, Srirangapatna Taluk, Mandya District - 571477</t>
  </si>
  <si>
    <t>Exact fee figure not located; run by Maharaja Education Trust, affiliated RGUHS | careers360.com, justdial.com (Maharaja Institute of Ayurveda Medical Sciences)</t>
  </si>
  <si>
    <t>MRN Ayurvedic Medical College Hospital and Research Centre,,Navanagar,Bagalkot-587104</t>
  </si>
  <si>
    <t>Bagalkot</t>
  </si>
  <si>
    <t>111-112, Hubli Bypass Road, Navanagar, Bagalkot - 587104</t>
  </si>
  <si>
    <t>7411718005, 9620557598</t>
  </si>
  <si>
    <t>(filled in gap-fill pass) | ayushcounselling.in BAMS Private Colleges Fee Structure in Karnataka aggregator page (accessed 2026-09-26), matching MRN Ayurvedic Medical College Hospital and Research Centre, Bagalkot entry</t>
  </si>
  <si>
    <t>Muniyal Institute of Ayurvedic Medical Sciences, No.34-C, Shivalli Industrial Area, Manipal - 576104, Udupi Dist</t>
  </si>
  <si>
    <t>Manipal</t>
  </si>
  <si>
    <t>34/C, Shivalli Industrial Area, Manipal, Udupi District - 576104</t>
  </si>
  <si>
    <t>1800-425-3178 (toll-free) / 0820-2572819 / +91 8123403232</t>
  </si>
  <si>
    <t>info@muniyalayurveda.com</t>
  </si>
  <si>
    <t>https://muniyalayurvedacollege.com/</t>
  </si>
  <si>
    <t>BAMS, MD/MS (Ayurveda - multiple specialities)</t>
  </si>
  <si>
    <t>Attached Ayurveda hospital, Herbal garden, Library, Hostel</t>
  </si>
  <si>
    <t>Private management/other-state quota 2025-26 (approx range reported 3,01,500-3,40,875)</t>
  </si>
  <si>
    <t>Range reported 3,01,500 to 3,40,875/year; lower figure used as tuition_fee, not confirmed by official notice | collegedunia.com / collegedekho.com (Muniyal Institute of Ayurveda Medical Sciences)</t>
  </si>
  <si>
    <t>No category-wise difference found; figure is a third-party estimate, not an official fee notice</t>
  </si>
  <si>
    <t>N.K. Jabshetty Ayurvedic Medical College &amp; PG Centre, Sri Siddarooda Matt, Gumpa, Bidar - 585403</t>
  </si>
  <si>
    <t>Bidar</t>
  </si>
  <si>
    <t>Sri Siddarooda Matt, Gumpa, Bidar - 585403</t>
  </si>
  <si>
    <t>08482-234713 / 08482-234422</t>
  </si>
  <si>
    <t>https://nkjamcbidar.net/</t>
  </si>
  <si>
    <t>BAMS, MD (Rachana Sharir), MS (Shalya Tantra)</t>
  </si>
  <si>
    <t>(filled in gap-fill pass) | ayushcounselling.in BAMS Private Colleges Fee Structure in Karnataka aggregator page (accessed 2026-09-26), matching N.K. Jabshetty Ayurvedic Medical College &amp; P.G. Centre, Bidar entry</t>
  </si>
  <si>
    <t>Neelganga Ayurvedic Medical College Hospital and Research Centre,,Yarbbag, Basavkalyan-585331</t>
  </si>
  <si>
    <t>Basavakalyan</t>
  </si>
  <si>
    <t>Ayurgram, Yerbagh, Basavakalyan Taluk, Bidar District - 585331</t>
  </si>
  <si>
    <t>+91 72597 64712</t>
  </si>
  <si>
    <t>neelganga.media@gmail.com</t>
  </si>
  <si>
    <t>https://neelgangaayurvedicacademy.com/</t>
  </si>
  <si>
    <t>Attached Ayurveda hospital (60-bed), 9 OPDs, 10 IPD wards, Library, Hostel</t>
  </si>
  <si>
    <t>Exact fee figure not located in available sources | ayufinders.com, cutoffbaba.com (Neelganga Ayurvedic Medical College)</t>
  </si>
  <si>
    <t>Poornima Ayurvedic Medical College, Hospital and Research Center,Mantralayam Road, Raichur-584103</t>
  </si>
  <si>
    <t>Raichur</t>
  </si>
  <si>
    <t>Mantralayam Road, Raichur - 584103</t>
  </si>
  <si>
    <t>+919663881181, +919060508927</t>
  </si>
  <si>
    <t>pamcrcr@gmail.com</t>
  </si>
  <si>
    <t>https://pamchrc.org</t>
  </si>
  <si>
    <t>Private management quota 2025-26 (NRI quota reported separately at approx 6,00,000/yr)</t>
  </si>
  <si>
    <t>Management quota fee reported as approx Rs 4,00,000/year by admission consultancy site, not an official notice; NRI fee noted in fee_note as ~Rs 6,00,000/year | admissionpro.in (Poornima Ayurvedic Medical College Hospital &amp; Research Center, Raichur)</t>
  </si>
  <si>
    <t>No category-wise difference found for management/other-state seats</t>
  </si>
  <si>
    <t>Prakruthi Ayurveda Medical College and Hospital, N.H-4 Bypass Challakere Tollgate, Chitradurga -577501</t>
  </si>
  <si>
    <t>NH-4 Bypass, Challakere Tollgate, Chitradurga - 577501</t>
  </si>
  <si>
    <t>https://www.pamch.in/</t>
  </si>
  <si>
    <t>Well-equipped laboratories, clinical facilities, classrooms</t>
  </si>
  <si>
    <t>Seats and fee figure not located in available sources | pamch.in, rmgoe.org</t>
  </si>
  <si>
    <t>Prasanna College of Ayurveda and Hospital, Belthangady - 574 214 , Dist. Mangalore.</t>
  </si>
  <si>
    <t>Belthangady</t>
  </si>
  <si>
    <t>Laila, Belthangady, Dakshina Kannada District - 574214</t>
  </si>
  <si>
    <t>+91 9964326600, +91 8618659656</t>
  </si>
  <si>
    <t>info@prasannaayurvediccollege.com</t>
  </si>
  <si>
    <t>https://prasannaayurvediccollege.com/</t>
  </si>
  <si>
    <t>(filled in gap-fill pass) | ayushcounselling.in BAMS Private Colleges Fee Structure in Karnataka aggregator page (accessed 2026-09-26), matching Prasanna College of Ayurveda and Hospital, Belthangady entry</t>
  </si>
  <si>
    <t>R.G.E.SOCIETYS ATHARVA AYURVEDIC MEDICAL COLLEGE &amp; Hospital, Flot No1-B1, Belure Industrial Area, Dharwad- 580011</t>
  </si>
  <si>
    <t>Plot #1-B1, Belur Industrial Area, Belur, Dharwad - 580011</t>
  </si>
  <si>
    <t>0836-2224555 / 09986660145</t>
  </si>
  <si>
    <t>atharvaamcd@gmail.com</t>
  </si>
  <si>
    <t>https://atharvaamcd.org/</t>
  </si>
  <si>
    <t>Seats permitted from AY 2023-24; fee figure not located | careers360.com, atharvaamcd.org</t>
  </si>
  <si>
    <t>Rajarajeswari Ayurvedic Medical College and Hospital Humnabad,Bidara dist 58330</t>
  </si>
  <si>
    <t>Veerbhadragiri, Sindenkera Cross, Humnabad, Bidar District - 585330</t>
  </si>
  <si>
    <t>+9194480 23966</t>
  </si>
  <si>
    <t>hkdetramc@gmail.com</t>
  </si>
  <si>
    <t>https://rramc.org</t>
  </si>
  <si>
    <t>(filled in gap-fill pass) | ayushcounselling.in BAMS Private Colleges Fee Structure in Karnataka aggregator page (accessed 2026-09-26), matching H.K.D.E.T's Rajarajeshwari Ayurvedic Medical College &amp; Hospital, Humnabad entry</t>
  </si>
  <si>
    <t>Rajashekaraiah Institute of Ayurvedic Medical Science &amp; Hospital, NH-75, Solur Village Magadi Taluk, Ramanagar Dist561227</t>
  </si>
  <si>
    <t>Ramanagara</t>
  </si>
  <si>
    <t>NH-75, Kunigal Highway, Solur Village, Magadi Taluk, Ramanagara District - 562127</t>
  </si>
  <si>
    <t>+91 98452 23223</t>
  </si>
  <si>
    <t>rajshekaraiah.ayurveda@gmail.com</t>
  </si>
  <si>
    <t>https://riamsh.edu.in/</t>
  </si>
  <si>
    <t>Fee figure not located in available sources | riamsh.edu.in, universitydekho.com</t>
  </si>
  <si>
    <t>Rajeev Institute of Ayurvedic Medical Sciences and Research Centre, Hassan-573201</t>
  </si>
  <si>
    <t>Hassan</t>
  </si>
  <si>
    <t>Plot 1D-P2, Industrial Area, B M Bypass Road, Hassan - 573201</t>
  </si>
  <si>
    <t>+91 8296171966</t>
  </si>
  <si>
    <t>rajeevayuhassan@gmail.com</t>
  </si>
  <si>
    <t>https://riams.in/</t>
  </si>
  <si>
    <t>Sources show conflicting figures (2,00,500 and 3,40,875) that could not be verified against an official notice; left null per no-invention rule | careers360.com, riams.in</t>
  </si>
  <si>
    <t>Rajiv Gandhi Education Society's Ayurvedic Medical College &amp; Hospital Taluka Ron,Dist. Gadag-582209</t>
  </si>
  <si>
    <t>Ron</t>
  </si>
  <si>
    <t>Ron, Gadag District - 582209</t>
  </si>
  <si>
    <t>08381-267452</t>
  </si>
  <si>
    <t>rgesr1992@rediffmail.com</t>
  </si>
  <si>
    <t>https://rgesociety-ron.org/amch/</t>
  </si>
  <si>
    <t>Fee figure not located in available sources | rgesociety-ron.org</t>
  </si>
  <si>
    <t>Ramakrishna Ayurveda Medical College,No.54/2,Ramagondana halli,Yelahanka,Bangalore</t>
  </si>
  <si>
    <t>Bangalore</t>
  </si>
  <si>
    <t>54/2, Ramagondanahalli, Yelahanka, Bangalore - 560064</t>
  </si>
  <si>
    <t>+91 80 5002 2283, +91 99 4582 9448</t>
  </si>
  <si>
    <t>principalramc@gmail.com</t>
  </si>
  <si>
    <t>http://www.rkayurveda.in/</t>
  </si>
  <si>
    <t>(filled in gap-fill pass) | ayushcounselling.in BAMS Private Colleges Fee Structure in Karnataka aggregator page (accessed 2026-09-26), matching Sri Balaji Education Trust's Ramakrishna Ayurvedic Medical College and Research Centre, Bangalore entry</t>
  </si>
  <si>
    <t>Relief Foundation for Health Services and Rural Development Agastya Ayurveda Medical College and Hospital, Opp to KIMS, Kidadal Road, Koppala-583231</t>
  </si>
  <si>
    <t>Koppal</t>
  </si>
  <si>
    <t>Opp KIMS, Kidadal Road, Koppal - 583231</t>
  </si>
  <si>
    <t>9986848824, +91 9964326600</t>
  </si>
  <si>
    <t>https://agastyaayurvediccollege.in/</t>
  </si>
  <si>
    <t>Management quota fee reported as approx Rs 4,00,000/year by admission consultancy sites, not an official notice; another source cites total course fee of Rs 13.5 lakh | admissionpro.in (Agastya Ayurveda Medical College and Hospital, Koppal)</t>
  </si>
  <si>
    <t>S A Ningoji Ayurvedic Medical College, Hospital &amp; Research Centre, Dadegal, Koppal -583231</t>
  </si>
  <si>
    <t>Dadegal, Koppal - 583231</t>
  </si>
  <si>
    <t>https://www.sanamc.org/</t>
  </si>
  <si>
    <t>Fee figure not located in available sources | sanamc.org, careers360.com</t>
  </si>
  <si>
    <t>S.G.E.S.S Dr.N A Magadum Ayurvedic Medical College, Hospital &amp; Research Centre, Ankali - 591 213, Chikodi Taluk, Belgaum Dist.</t>
  </si>
  <si>
    <t>Ankali, Nasalapur Bypass Road, Chikodi Taluk, Belagavi District - 591213</t>
  </si>
  <si>
    <t>08338-254205</t>
  </si>
  <si>
    <t>drnamagadumayu@gmail.com</t>
  </si>
  <si>
    <t>https://drnamagadumayu.edu.in/</t>
  </si>
  <si>
    <t>Fee figure not located; "235 students admitted" figure found refers to total enrolment, not annual BAMS intake, so left as total_seats null | drnamagadumayu.edu.in</t>
  </si>
  <si>
    <t>S.S. Jambagi Memorial Education &amp; Charitable Trust's, Shri Siddhivinayaka Rural Ayurvedic Medical College,Harugeri, Athani Road,Raibag- Tq,Belgaum- Dist, 591220</t>
  </si>
  <si>
    <t>Harugeri</t>
  </si>
  <si>
    <t>Gokak-Athani Main Road, Harugeri, Raibag Taluk, Belagavi District</t>
  </si>
  <si>
    <t>9845594441</t>
  </si>
  <si>
    <t>svramchrg@gmail.com</t>
  </si>
  <si>
    <t>https://www.siddhivinayakaramchrg.com/</t>
  </si>
  <si>
    <t>Attached Ayurveda hospital, Library, Hostel, campus of 14.08 acres</t>
  </si>
  <si>
    <t>Private management/other-state quota (course fee reported, not officially dated)</t>
  </si>
  <si>
    <t>Figure of Rs 2,72,250 reported as "course fee"; unclear whether annual or total, treated as annual tuition per lack of clarity; not from an official notice | bhavyaeducation.com (Shri Siddhivinayaka Rural Ayurvedic Medical College)</t>
  </si>
  <si>
    <t>No category-wise difference found</t>
  </si>
  <si>
    <t>S.S.V Samiti's Sri S.B.S.Ayurvedic Medical College, Mundaragi, Gadag-582118</t>
  </si>
  <si>
    <t>Mundargi</t>
  </si>
  <si>
    <t>Koppal Road, AT-PO-TQ Mundargi, Gadag District - 582118</t>
  </si>
  <si>
    <t>+91-7411279739</t>
  </si>
  <si>
    <t>https://www.sbsamc.com/</t>
  </si>
  <si>
    <t>Fee figure not located in available sources | sbsamc.com, edufever.com</t>
  </si>
  <si>
    <t>Samata Ayurvedic Medical college Hospital and Research centre,Opp Koralli Cross, SH10, Aland, Kalburgi-585302</t>
  </si>
  <si>
    <t>Aland</t>
  </si>
  <si>
    <t>Opp. Koralli Cross, SH10, Aland, Kalaburagi District - 585302</t>
  </si>
  <si>
    <t>87920-94343, 94493-84343</t>
  </si>
  <si>
    <t>samata.amcaland@gmail.com</t>
  </si>
  <si>
    <t>https://samataayurvedic.samatakalaburgi.org/</t>
  </si>
  <si>
    <t>Fee figure not located in available sources; seat count sources conflict between 56 and 60 | agnirva.com, samataayurvedic.samatakalaburgi.org</t>
  </si>
  <si>
    <t>SBG Ayurvedic Medical Collge &amp; Hospital, CTS NO-4125/2B, Laxami Tekadi, Opp. Federal Bank, Ganeshpur Road, Belgavi590009</t>
  </si>
  <si>
    <t>CTS No-4125/2B, Laxami Tekadi, Opp. Federal Bank, Ganeshpur Road, Belagavi - 590009</t>
  </si>
  <si>
    <t>0831-2447770, +91 8277937770</t>
  </si>
  <si>
    <t>https://www.sbgamch.org/</t>
  </si>
  <si>
    <t>(filled in gap-fill pass) | shiksha.com fee page for S.B.G. Ayurvedic Medical College and Hospital, Belgavi</t>
  </si>
  <si>
    <t>SDM Trust's Ayurvedic Medical College, Padma Ayurvedic Hospital &amp; Research Centre,Terdal, Tq. Jamkhandi, Dist. Bagalkot-587315</t>
  </si>
  <si>
    <t>Terdal</t>
  </si>
  <si>
    <t>Padmanagar, Terdal - 587315, Jamakhandi Taluk, Bagalkot District</t>
  </si>
  <si>
    <t>+91 96865 57142</t>
  </si>
  <si>
    <t>2005ayu0098@gmail.com</t>
  </si>
  <si>
    <t>https://dgiayurveda.com/</t>
  </si>
  <si>
    <t>Attached Padma Ayurvedic Hospital (200 beds), Library, Hostel</t>
  </si>
  <si>
    <t>Seats and fee figure not located in available sources | bamscollege.blogspot.com, ayurvedamedicalcolleges.com (SDM Trust's Ayurvedic Medical College, Terdal)</t>
  </si>
  <si>
    <t>Sharada Ayurveda Medical College and Hospital, Devinagar, Talapady, Mangalore-575023</t>
  </si>
  <si>
    <t>Sharada Ayurdhama Campus, Devinagar, Talapady, Mangalore - 575023</t>
  </si>
  <si>
    <t>+91 8971153232</t>
  </si>
  <si>
    <t>info@samch.co.in</t>
  </si>
  <si>
    <t>https://www.samch.co.in/</t>
  </si>
  <si>
    <t>Fee figure not located in available sources; run by Tulunadu Educational Trust | samch.co.in, careers360.com</t>
  </si>
  <si>
    <t>Shikshana Prasaraka Samitis Dhanwanthri Ayurvedic Medical College,,Uttara Kannada- Dist</t>
  </si>
  <si>
    <t>Siddapur</t>
  </si>
  <si>
    <t>Siddapur, Uttara Kannada District</t>
  </si>
  <si>
    <t>08389-295488, 9480086458</t>
  </si>
  <si>
    <t>dhanvantari98@rediffmail.com</t>
  </si>
  <si>
    <t>https://dhanvantarisiddapur.org/</t>
  </si>
  <si>
    <t>BAMS, MD (Panchakarma), MD (Kayachikitsa)</t>
  </si>
  <si>
    <t>Fee figure not located in available sources; run by Shikshana Prasaraka Samiti | dhanvantarisiddapur.org, cutoffbaba.com (Shikshana Prasaraka Samiti's Dhanwanthri Ayurvedic Medical College)</t>
  </si>
  <si>
    <t>SHME Trust, Siddhantha Ayurvedic Medical College Hospital and Research Centre, Vijayapur Road, Sankonatti, Athani Rural, Taluk-Athani, Dist- Belagvi-591304</t>
  </si>
  <si>
    <t>Athani</t>
  </si>
  <si>
    <t>Vijayapur Road, Sankonatti, Athani Rural Taluk, Belagavi District - 591304</t>
  </si>
  <si>
    <t>08289-285700</t>
  </si>
  <si>
    <t>sidhantamc@gmail.com</t>
  </si>
  <si>
    <t>https://siddhantamc.org/</t>
  </si>
  <si>
    <t>Fee figure not located; run by SHME Trust | siddhantamc.org</t>
  </si>
  <si>
    <t>Shree Beereshwar Shikshana samsthe, KRISHNA AYURVEDIC MEDICAL COLLEGE AND HOSPITAL,BEHIND SYRIAN HOSPITAL,,SANKESHWAR, BELGAUM DT 591313</t>
  </si>
  <si>
    <t>Sankeshwar</t>
  </si>
  <si>
    <t>Behind Syrian Hospital, Old P.B. Road, Sankeshwar, Belgaum District - 591313</t>
  </si>
  <si>
    <t>9886372642</t>
  </si>
  <si>
    <t>kamchsnk@gmail.com</t>
  </si>
  <si>
    <t>https://www.krishnaamch.org/</t>
  </si>
  <si>
    <t>(filled in gap-fill pass) | shiksha.com fee page for Krishna Ayurvedic Medical College and Hospital, Sankeshwar</t>
  </si>
  <si>
    <t>Shri Bahubali Vidyapeeth’s JV Mandal’s Grameen Ayurvedic Medical College, Gurukul Campus, Jamakhandi Taluk, Terdal – 587315, Bagalkot</t>
  </si>
  <si>
    <t>Gurukul Campus, Jamakhandi Taluk, Terdal - 587315, Bagalkot District</t>
  </si>
  <si>
    <t>08353-200232, +91-8277714346</t>
  </si>
  <si>
    <t>gamcterdal@gmail.com</t>
  </si>
  <si>
    <t>https://www.gamchterdal.org/</t>
  </si>
  <si>
    <t>Fee figure not located in available sources | gamchterdal.org, shiksha.com (Shri Bahubali Vidyapeeth's JV Mandal's Grameen Ayurvedic Medical College)</t>
  </si>
  <si>
    <t>Shri Basaveshwara Ayurvedic Medical College, Hospital &amp; Research Centre, Shadabad Road, Kalaburgi-585105</t>
  </si>
  <si>
    <t>Kalaburagi</t>
  </si>
  <si>
    <t>Shetty Education Hub, Shahabad Road, Kalaburagi - 585105</t>
  </si>
  <si>
    <t>9845975191</t>
  </si>
  <si>
    <t>sbamch2020@gmail.com</t>
  </si>
  <si>
    <t>https://sbamch.in/</t>
  </si>
  <si>
    <t>Fee figure not located in available sources | sbamch.in</t>
  </si>
  <si>
    <t>Shri Basaveshwara Vidya Vardhak Sangha Ayurvedic Medical College &amp; Hospital, P.B No 34, Bagalkot - 587101</t>
  </si>
  <si>
    <t>Bagalkot - 587101</t>
  </si>
  <si>
    <t>0835-4424380, 9448408234, 9844136277</t>
  </si>
  <si>
    <t>bvvsamch2012@gmail.com</t>
  </si>
  <si>
    <t>https://www.bvvsayurved.ac.in/</t>
  </si>
  <si>
    <t>Attached teaching hospital (150 beds), Library, Hostel</t>
  </si>
  <si>
    <t>Private management/other-state quota (fee figure reported by third-party admission portal, not an official notice)</t>
  </si>
  <si>
    <t>Rs 3,40,875/year figure appears repeated across several Karnataka BAMS colleges on third-party sites, suggesting it may be a generic placeholder rather than a verified college-specific figure; use with caution | mynextexam.com (Shri Basaveshwar Vidya Vardhak Sangha Ayurved Medical College and Hospital, Bagalkot)</t>
  </si>
  <si>
    <t>No category-wise difference found; fee figure unverified against an official notice</t>
  </si>
  <si>
    <t>Shri Bidarur Institute of Ayurveda and Hospital, Near SMK Nagar, Balanugar Road, Gadag-582101</t>
  </si>
  <si>
    <t>Near SM Krishna Nagar, Gadag-Balaganur Road, Gadag - 582101</t>
  </si>
  <si>
    <t>http://sbiahgadag.org/</t>
  </si>
  <si>
    <t>Fee figure not located in available sources | sbiahgadag.org, careers360.com</t>
  </si>
  <si>
    <t>Shri Hingulambika Education Society?s Ayurvedic Medical College, Hosp &amp; Research Centre, Bhavsarnagar, Sedam Road, Kalaburgi - 585 106</t>
  </si>
  <si>
    <t>Bhavasar Nagar, Sedam Road, Kalaburagi - 585106</t>
  </si>
  <si>
    <t>+91 9606964568</t>
  </si>
  <si>
    <t>shesamc@gmail.com</t>
  </si>
  <si>
    <t>https://shes-ayurvedicmedicalcollege.com/</t>
  </si>
  <si>
    <t>Rs 3,40,875/year is the same figure reported for several other Karnataka colleges on the same aggregator; a separate review mentioned a management-seat figure of Rs 25 lakh (likely total course cost, not verified); use tuition_fee with caution | shiksha.com (Shri Hingulambika Ayurvedic Medical College, Kalaburagi)</t>
  </si>
  <si>
    <t>Shri Jagadguru Gavisiddeshwara Ayurvedic Medical College, Post Graduate Studies &amp; Research Centre, Gavimat, Koppal - 583231</t>
  </si>
  <si>
    <t>Gavimath Campus, Koppal - 583231</t>
  </si>
  <si>
    <t>08539-222517</t>
  </si>
  <si>
    <t>principal@sjgamc.org</t>
  </si>
  <si>
    <t>https://sjgamckpl.in/</t>
  </si>
  <si>
    <t>Rs 3,00,000/year figure not confirmed against an official KEA/college notice | collegedunia.com (Shri Jagadguru Gavisiddeshwara Ayurvedic Medical College, Koppal)</t>
  </si>
  <si>
    <t>Shri Jagadguru Gurusiddeshwara Co-Operative Society`s Sahakara Maharshi Sri B A Patil Ayurvedic Medical College, Ghataprabha-591310, Tq-Gokak, Dist - Belgaum</t>
  </si>
  <si>
    <t>Ghataprabha</t>
  </si>
  <si>
    <t>Ghataprabha - 591310, Gokak Taluk, Belagavi District</t>
  </si>
  <si>
    <t>https://www.sjgchsamcghataprabha.org/</t>
  </si>
  <si>
    <t>total_seats of 100 UG BAMS seats reported by NCISM-referencing search result. (filled in gap-fill pass) | ayushcounselling.in BAMS Private Colleges Fee Structure in Karnataka aggregator page (accessed 2026-09-26), matching Shri Jagadguru Gurusiddeshwar Co-Operative Society's Sahakar Maharshi Shri B.A. Patil Ayurvedic Medical College, Belgaum (Ghataprabha) entry</t>
  </si>
  <si>
    <t>Shri Kalidasa Ayurvedic Medical College,Banashankarai Road, Badami-587201</t>
  </si>
  <si>
    <t>Badami</t>
  </si>
  <si>
    <t>Banashankari Road, Badami - 587201</t>
  </si>
  <si>
    <t>+91 9964480444, +91 8618659656</t>
  </si>
  <si>
    <t>drteggi@rediffmail.com</t>
  </si>
  <si>
    <t>https://kalidasamc.in/</t>
  </si>
  <si>
    <t>Other aggregators show inconsistent duplicate figures (Rs.1,50,000 / Rs.2,00,000 / Rs.2,00,500) for this college name; 2,00,500 was the figure that also matched a separate dedicated fee-listing source. (filled in gap-fill pass) | courses.docthub.com fee listing for Shri Kalidas Ayurvedic Medical College (SKAMC), Badami</t>
  </si>
  <si>
    <t>Shri Shivayogeeshwara Rural Ayurvedic Medical College &amp; Hosp, Inchal-591 102, Soundatti Taluk, Belagavi Dist-591102</t>
  </si>
  <si>
    <t>Saundatti</t>
  </si>
  <si>
    <t>Gokak Road, Revansiddeswar Nagar, Inchal, Saundatti Taluk, Belagavi District - 591102</t>
  </si>
  <si>
    <t>08337-244939</t>
  </si>
  <si>
    <t>vinaymohang@gmail.com</t>
  </si>
  <si>
    <t>https://ssramcinchal.com/</t>
  </si>
  <si>
    <t>Attached Ayurveda teaching hospital (175 beds), Library, Hostel</t>
  </si>
  <si>
    <t>(filled in gap-fill pass) | ayushcounselling.in BAMS Private Colleges Fee Structure in Karnataka aggregator page (accessed 2026-09-26), matching Shri Shiva Yogeshwara Rural Ayurvedic Medical College &amp; Hospital, Belgaum entry</t>
  </si>
  <si>
    <t>Shri Veerpulikeshi Rural Vidyavardhak Samasth's Rural Ayurvedic Medical College, Hospital &amp; Reaserch Center, Opp J.M.F Court, Ramadurga Road, PO &amp; TQ ,Badami,,Bagalkot D587201</t>
  </si>
  <si>
    <t>Ramadurga Road, Badami Taluk, Bagalkot District - 587201</t>
  </si>
  <si>
    <t>+91 9964480444</t>
  </si>
  <si>
    <t>shri.veerpulikeshi_ayu_2008@yahoo.co.in</t>
  </si>
  <si>
    <t>Attached Ayurveda hospital (120 beds), Panchakarma unit, Kshara Sootra laboratory, Operation theatre, Library, Hostel</t>
  </si>
  <si>
    <t>No official website found for this college beyond aggregator listing pages. (filled in gap-fill pass) | ayushcounselling.in BAMS Private Colleges Fee Structure in Karnataka aggregator page (accessed 2026-09-26), matching Shri Veerpulikeshi Rural Vidyavardhak Samasth's Rural Ayurvedic Medical College, Hospital &amp; Research Centre, Bagalkot entry</t>
  </si>
  <si>
    <t>Sindagi Shanta Veereshwar, Ayurvedic Medical College &amp; Hospital, Shantaveera Nagar, Ijarilakamapur, P.B. Road, Distt.-Haveri-581183</t>
  </si>
  <si>
    <t>Haveri</t>
  </si>
  <si>
    <t>Shantaveer Nagar, Ijari Lakamapur, P.B. Road, Haveri - 581110</t>
  </si>
  <si>
    <t>08375-232487</t>
  </si>
  <si>
    <t>ssamc1992@rediffmail.com</t>
  </si>
  <si>
    <t>https://www.ssamch.co.in/</t>
  </si>
  <si>
    <t>Seat split reported as 9 AIQ (15%) + 15 State quota (KEA) + 36 Management quota; fee figure not located | mynextexam.com, ayurvedaadmission.com (Sindagi Shanta Veereshwar Ayurvedic Medical College, Haveri)</t>
  </si>
  <si>
    <t>Smt. Shantadevi Memorial Ayurveda Medical College and Hospital, Badagandi ,Bilagi TQ, Bagalkot-587116</t>
  </si>
  <si>
    <t>Badagandi, Bilagi Taluk, Bagalkot - 587116, Karnataka</t>
  </si>
  <si>
    <t>6363804398</t>
  </si>
  <si>
    <t>srpef.ayucollege@gmail.com</t>
  </si>
  <si>
    <t>https://srpef-ssmamch.org/</t>
  </si>
  <si>
    <t>Attached Ayurveda hospital, Library, Laboratories, Hostel</t>
  </si>
  <si>
    <t>Private management/open (non-NRI) quota, Karnataka AYUSH (KEA) 2025-26</t>
  </si>
  <si>
    <t>Fee left blank: no college-specific 2025-26 fee found (Karnataka fixes fees per college). Previously estimated figure Rs 275000 was a generic/unreliable value and was removed. College-specific fee page could not be independently confirmed; state-wide KEA figure applied. Verify with college/KEA before relying on this number. | Edufever Karnataka Ayush Colleges Fee Structure compilation (https://www.edufever.com/karnataka-ayush-colleges-fee-structure/) - Karnataka private BAMS colleges' management/state quota fee fixed by state Fee Regulation Committee at approx Rs 2,75,000/year, applied uniformly across most private Karnataka BAMS colleges in KEA AYUSH counselling.</t>
  </si>
  <si>
    <t>State SC/ST fee concessions generally apply only to Karnataka-domicile government-quota seats, not to management/open quota seats available to other-state candidates; no category-wise difference found for this seat type.</t>
  </si>
  <si>
    <t>SNVV Samasthe's S.G.V. Ayurvedic Medical College , Hospital and Research center, Bailhongal - 591102, Belagavi District</t>
  </si>
  <si>
    <t>Bailhongal, Belagavi</t>
  </si>
  <si>
    <t>Bailhongal - 591102, Belagavi District, Karnataka</t>
  </si>
  <si>
    <t>9481142547</t>
  </si>
  <si>
    <t>sgvamc@gmail.com</t>
  </si>
  <si>
    <t>https://sgvamcbailhongal.org/</t>
  </si>
  <si>
    <t>BAMS, MD (Ayurveda)</t>
  </si>
  <si>
    <t>Attached Ayurveda hospital, Library, Laboratories, Hostel, 15-acre campus</t>
  </si>
  <si>
    <t>Figure close to Karnataka state uniform private BAMS fee of ~Rs 2,75,000; not from an official KEA/college fee notice. | AdmissionXpert/aggregator listing citing ~Rs 2,72,250/year tuition for SGV Ayurvedic Medical College, Bailhongal; consistent with Karnataka state-wide private BAMS fee (~Rs 2.75L) fixed by Fee Regulation Committee.</t>
  </si>
  <si>
    <t>No category-wise fee difference found for management/open quota seats.</t>
  </si>
  <si>
    <t>Spoorthi Ayurveda Medical College &amp; Dr S V Savadi Hosp, Gangavathi, Koppal -583227</t>
  </si>
  <si>
    <t>Gangavathi, Koppal</t>
  </si>
  <si>
    <t>Gangavathi, Koppal - 583227, Karnataka</t>
  </si>
  <si>
    <t>9845646885</t>
  </si>
  <si>
    <t>spoorthiamc22@gmail.com</t>
  </si>
  <si>
    <t>https://spoorthiayugvt.in/</t>
  </si>
  <si>
    <t>Dr. S V Savadi Ayurvedic Hospital (100-bed multispecialty teaching hospital), Library, Hostel</t>
  </si>
  <si>
    <t>Fee left blank: no college-specific 2025-26 fee found (Karnataka fixes fees per college). Previously estimated figure Rs 275000 was a generic/unreliable value and was removed. admissionpro.in's Rs 9.49L figure looks like a total multi-year or NRI-inclusive figure; state per-year management fee of ~Rs 2.75L used instead. Verify directly with college. | Edufever Karnataka Ayush Colleges Fee Structure (state-wide private BAMS management/state quota fee ~Rs 2,75,000/year); admissionpro.in cited a total (multi-year) figure of Rs 9.49L which appears to be a full-course/NRI package, not the annual management fee.</t>
  </si>
  <si>
    <t>Sri Dharmasthala Manjunatheshwara College of Ayurveda &amp; Hospital, Laxminarayan Nagara, P.O Kuthpad and Dist.Udupi574118</t>
  </si>
  <si>
    <t>Udupi</t>
  </si>
  <si>
    <t>Sri Dharmasthala Manjunatheshwara College of Ayurveda &amp; Hospital, Laxminarayan Nagara, Kuthpady Post, Udupi - 574118, Karnataka</t>
  </si>
  <si>
    <t>0820-2520332 / 9482079049</t>
  </si>
  <si>
    <t>sdmcau@gmail.com</t>
  </si>
  <si>
    <t>https://sdmayurvedacollegeudupi.in/</t>
  </si>
  <si>
    <t>BAMS, MD (Ayurveda), MS (Ayurveda), PhD</t>
  </si>
  <si>
    <t>Attached Ayurveda hospital, Herbal garden, Pharmacy, Library, Hostel</t>
  </si>
  <si>
    <t>(filled in gap-fill pass) | ayushcounselling.in - BAMS Private Colleges Fee Structure in Karnataka page</t>
  </si>
  <si>
    <t>Sri Dharmasthala Manjunatheswara College of Ayurveda and Hosp, Tanniruhalla, B.M.Road, Hassan-573201</t>
  </si>
  <si>
    <t>Tanniruhalla, B.M. Road, Hassan - 573201, Karnataka</t>
  </si>
  <si>
    <t>+91-8172-256460</t>
  </si>
  <si>
    <t>college@sdmcahhassan.org</t>
  </si>
  <si>
    <t>https://sdmcahhassan.org/</t>
  </si>
  <si>
    <t>Sri Kalabyraveshwara Swamy Ayurvedic Medical College, Hospital &amp; Research Centre, No.10, Pipe Line Road, RPC Layout, Vijayanagara, Bengaluru -560104.</t>
  </si>
  <si>
    <t>No.10, Pipe Line Road, RPC Layout, Vijayanagara, Bengaluru - 560104, Karnataka</t>
  </si>
  <si>
    <t>https://skamch.org/</t>
  </si>
  <si>
    <t>Private management/open (non-NRI) quota</t>
  </si>
  <si>
    <t>Rs 3,40,875 figure includes tuition plus other course charges per source; not broken down by year/component. Government-quota fee for same college separately reported as ~Rs 90,000/year (domicile seats only). | Shiksha.com fee page for Sri Kalabyraveshwara Swamy Ayurvedic Medical College (total BAMS fee ~Rs 3,40,875 cited, appears to be management-quota level, above the Rs 90,000/yr government-quota figure also reported for the same college).</t>
  </si>
  <si>
    <t>No category-wise difference found within the management/open quota seat type.</t>
  </si>
  <si>
    <t>Sri Mallikarjuna Vidya Vardhaka Sanghas Rajeshwari Karpurmath Memorial Ayurvedic Medical College, Hospital &amp; Research Centre, 100FT Ring Road, Behind KC Nagar, Bijapur-586103</t>
  </si>
  <si>
    <t>Bijapur (Vijayapura)</t>
  </si>
  <si>
    <t>100Ft Ring Road, Behind KC Nagar, Bijapur - 586103, Karnataka</t>
  </si>
  <si>
    <t>+91 9036648793</t>
  </si>
  <si>
    <t>rkmamc@gmail.com</t>
  </si>
  <si>
    <t>https://www.rkmamc.com/</t>
  </si>
  <si>
    <t>Fee left blank: no college-specific 2025-26 fee found (Karnataka fixes fees per college). Previously estimated figure Rs 275000 was a generic/unreliable value and was removed. Total course fee of ~Rs 3.5L reported by one source could correspond to a higher-year/NRI slab; per-year state fee applied here. | Edufever Karnataka private BAMS fee compilation (~Rs 2,75,000/year); one aggregator (admissionxpert) cites total BAMS fee ~Rs 3.5L for general category which may include the full course.</t>
  </si>
  <si>
    <t>Sri Paripoorna Sanathana Ayurveda Medical College, Hospital &amp; Research Centre, No-91, Kaivalya Sannidhana, Arujuna Betta Halli, Golla Halli, Nelamangala(T),Bangalore Rural</t>
  </si>
  <si>
    <t>Nelamangala, Bengaluru Rural</t>
  </si>
  <si>
    <t>No-91, Kaivalya Sannidhana, Arjuna Betta Halli, Golla Halli, Nelamangala Taluk, Bengaluru Rural, Karnataka</t>
  </si>
  <si>
    <t>+91 6366339024</t>
  </si>
  <si>
    <t>principal@spsamc.org</t>
  </si>
  <si>
    <t>https://spsamc.org/</t>
  </si>
  <si>
    <t>Source states this figure includes caution deposit/exam fee/security deposit bundled with tuition; unable to separately break out development/other fee components, so full amount placed in tuition_fee. | Kaullege.com / edudunia fee page citing BAMS tuition fee of Rs 3,40,875 (includes caution deposit, exam fee, security deposit per source).</t>
  </si>
  <si>
    <t>Sri Raghavendra Ayurveda Medical College &amp; Hospital, P.O Malladihalli, Tq. Holalkere,Distt. Chitradurga-577531</t>
  </si>
  <si>
    <t>Malladihalli, Holalkere Taluk, Chitradurga - 577531, Karnataka</t>
  </si>
  <si>
    <t>9742155943</t>
  </si>
  <si>
    <t>sramcmdh@gmail.com</t>
  </si>
  <si>
    <t>https://www.skamc.org/</t>
  </si>
  <si>
    <t>Attached Ayurveda hospital, Library, Hostel, 20-acre campus</t>
  </si>
  <si>
    <t>Sri Siddalingeshwara Education Trust , Rashmi Institute of Ayurveda Medical Science and Research Centre, Vijaynagar</t>
  </si>
  <si>
    <t>Vijayanagara (Kudligi)</t>
  </si>
  <si>
    <t>Vijayanagar / Kudligi Taluk, Vijayanagara District, Karnataka</t>
  </si>
  <si>
    <t>9964326600</t>
  </si>
  <si>
    <t>https://riakarnataka.com/</t>
  </si>
  <si>
    <t>Fee left blank: no college-specific 2025-26 fee found (Karnataka fixes fees per college). Previously estimated figure Rs 275000 was a generic/unreliable value and was removed. College is very new (2024); confirm current fee with admission office (phone 9964326600) before relying on this figure. | Newly established (2024) college; specific fee notice not located, Karnataka state-wide private BAMS fee (Edufever compilation) applied as estimate.</t>
  </si>
  <si>
    <t>Sri Sri College of Ayurvedic Sciences and Research, 21st K.M. Kanakapura Road, Udayapura Post, Bengaluru -560062</t>
  </si>
  <si>
    <t>21st K.M. Kanakapura Road, Udayapura Post, Bengaluru - 560062, Karnataka</t>
  </si>
  <si>
    <t>+91 80679 76768</t>
  </si>
  <si>
    <t>ayurvedacollege@ssrvm.org</t>
  </si>
  <si>
    <t>https://srisriayurvedacollege.edu.in/</t>
  </si>
  <si>
    <t>Range of Rs 3,01,500-3,40,875 reported across sources; upper figure used as most consistent with other Bengaluru private Ayurveda colleges of similar standing. | Aggregator fee pages (collegedunia/neetugpgcounselling) cite total BAMS fee range Rs 3,01,500 - 3,40,875.</t>
  </si>
  <si>
    <t>Sri Vijaya Mahantheshwara Ayurvedic Medical College, Ilkal587125, Hungund Taluk, Bagalkot Dist</t>
  </si>
  <si>
    <t>Ilkal, Bagalkot</t>
  </si>
  <si>
    <t>Ilkal - 587125, Hungund Taluk, Bagalkot District, Karnataka</t>
  </si>
  <si>
    <t>8861283552</t>
  </si>
  <si>
    <t>svmamc@gmail.com</t>
  </si>
  <si>
    <t>https://svmamc.com/</t>
  </si>
  <si>
    <t>Fee left blank: no college-specific 2025-26 fee found (Karnataka fixes fees per college). Previously estimated figure Rs 275000 was a generic/unreliable value and was removed. College-specific fee notice not located; state uniform KEA figure applied. | Contact details from ayushcounselling.in/college site; fee is Karnataka state-wide private BAMS management fee per Edufever compilation (~Rs 2,75,000/year).</t>
  </si>
  <si>
    <t>Sushrutha Ayurveda Medical College and Hospital,Prashanti Kutrream, Jodi Bingipur, Jigani Hobli, Anekal Taluk, Bangalore560106</t>
  </si>
  <si>
    <t>Bengaluru (Anekal)</t>
  </si>
  <si>
    <t>Prashanti Kuteera, Jodi Bingipura, Jigani Hobli, Anekal Taluk, Bengaluru - 560105, Karnataka</t>
  </si>
  <si>
    <t>9035247302</t>
  </si>
  <si>
    <t>sushrutha.principal@gmail.com</t>
  </si>
  <si>
    <t>https://sushruthaayurvedicmedicalcollege.com/</t>
  </si>
  <si>
    <t>Wide fee range reported (Rs 1L-2.5L likely government/state quota, Rs 3,40,875 likely management/open quota used here for other-state candidates). | Edufever/careers360 aggregator pages cite fee ranging Rs 1,00,000-2,50,000 for lower quotas and Rs 3,40,875 for the management-level BAMS fee.</t>
  </si>
  <si>
    <t>No category-wise fee difference found within the management/open quota seat type.</t>
  </si>
  <si>
    <t>Sushrutha Institute of Ayurveda Medical Sciences &amp; Research Center, Davangere-577 005.</t>
  </si>
  <si>
    <t>Davangere - 577005, Karnataka</t>
  </si>
  <si>
    <t>+91 8192 250 180</t>
  </si>
  <si>
    <t>info@sushrutha.edu</t>
  </si>
  <si>
    <t>https://sushrutha.in/</t>
  </si>
  <si>
    <t>Swamy Vivekananda Ayurveda Medical College and Hospital,,Lingasugur, Raichur</t>
  </si>
  <si>
    <t>Raichur (Lingasugur)</t>
  </si>
  <si>
    <t>Kesaratti, Lingasugur Taluk, Raichur District, Karnataka</t>
  </si>
  <si>
    <t>rajmanvi77@gmail.com</t>
  </si>
  <si>
    <t>https://svamchkl.com/</t>
  </si>
  <si>
    <t>Fee left blank: no college-specific 2025-26 fee found (Karnataka fixes fees per college). Previously estimated figure Rs 275000 was a generic/unreliable value and was removed. College-specific fee notice not located; state uniform KEA figure applied. | Karnataka state-wide private BAMS management fee (Edufever compilation, ~Rs 2,75,000/year); college-specific fee notice not located.</t>
  </si>
  <si>
    <t>T.A.M.E. Society's Ayurvedic Medical College,Post-Nidige560001, Shivamogga District</t>
  </si>
  <si>
    <t>Nidige Post, Shivamogga - 577222, Karnataka</t>
  </si>
  <si>
    <t>08182-246215</t>
  </si>
  <si>
    <t>https://www.tmaesshimoga.com/</t>
  </si>
  <si>
    <t>Fee left blank: no college-specific 2025-26 fee found (Karnataka fixes fees per college). Previously estimated figure Rs 275000 was a generic/unreliable value and was removed. College-specific fee notice not located; state uniform KEA figure applied. | Phone number from admissionxpert; fee is Karnataka state-wide private BAMS management fee per Edufever compilation.</t>
  </si>
  <si>
    <t>T.M.A.E. Society's Ayurvedic Medical College &amp; Hospital, Post Box No.54, Sanklapura Tanda, Ballari Road, Kariganur Post, Hosapete, Vijaynagar, Ballari Dist-583201</t>
  </si>
  <si>
    <t>Hosapete, Vijaynagar</t>
  </si>
  <si>
    <t>Post Box No.54, Sanklapura Tanda, Ballari Road, Kariganur Post, Hosapete, Vijaynagar District, Ballari - 583201, Karnataka</t>
  </si>
  <si>
    <t>+91-9880087221</t>
  </si>
  <si>
    <t>Email on tmaeamchpt.com/contact/ is Cloudflare-obfuscated; could not decode via WebFetch (filled in gap-fill pass) | ayushcounselling.in - BAMS Private Colleges Fee Structure in Karnataka page</t>
  </si>
  <si>
    <t>Tapovana Ayurvedic Medical College &amp; Hospital, Davangare, Doddabathi - 577 566</t>
  </si>
  <si>
    <t>Doddabathi - 577566, Davangere, Karnataka</t>
  </si>
  <si>
    <t>08192-291822</t>
  </si>
  <si>
    <t>tapovanamedicalcollege@gmail.com</t>
  </si>
  <si>
    <t>https://www.tapovana.net/</t>
  </si>
  <si>
    <t>Taranatha Government Ayurvedic Medical College, Ananthpura Road, Bellary - 583101.</t>
  </si>
  <si>
    <t>Government</t>
  </si>
  <si>
    <t>Bellary (Ballari)</t>
  </si>
  <si>
    <t>Ananthpura Road, Bellary - 583101, Karnataka</t>
  </si>
  <si>
    <t>08392-260273</t>
  </si>
  <si>
    <t>info@tgamcballari.org</t>
  </si>
  <si>
    <t>https://www.tgamcballari.org/</t>
  </si>
  <si>
    <t>Government college, All-India Quota / other-state seat via NEET AYUSH counselling 2025-26</t>
  </si>
  <si>
    <t>Range Rs 1,15,875-1,34,500 reported across sources for government-college BAMS fee (may include exam/other charges); lower bound used for tuition_fee. | Careers360/Edufever course fee page for Taranath Government Ayurvedic Medical College, Bellary (fee cited as Rs 1,15,875 - Rs 1,34,500 range).</t>
  </si>
  <si>
    <t>Government-college SC/ST/OBC fee concessions typically apply only to Karnataka-domicile candidates admitted under state government quota; other-state candidates admitted via AIQ generally pay the general/open fee. No confirmed category-wise difference found for AIQ/other-state seats.</t>
  </si>
  <si>
    <t>Yellalinga Education Trusts Sri Siddarameshwara Ayurvedic Medical College,Naubad,Bidar</t>
  </si>
  <si>
    <t>Naubad, Humnabad Road, Bidar, Karnataka</t>
  </si>
  <si>
    <t>8482-232633</t>
  </si>
  <si>
    <t>yetssamc@gmail.com</t>
  </si>
  <si>
    <t>https://siddharameshwarayurveda.in/</t>
  </si>
  <si>
    <t>Fee left blank: no college-specific 2025-26 fee found (Karnataka fixes fees per college). Previously estimated figure Rs 275000 was a generic/unreliable value and was removed. College-specific fee amount not located; state uniform KEA figure applied. | Careers360 facilities page; fee is Karnataka state-wide private BAMS management fee per Edufever compilation.</t>
  </si>
  <si>
    <t>AMALTAS INSTITUTE OF AYURVEDA BANGAR DEWAS</t>
  </si>
  <si>
    <t>Madhya Pradesh</t>
  </si>
  <si>
    <t>Dewas</t>
  </si>
  <si>
    <t>Village Bangar, Dewas-Ujjain Highway, Dewas - 455001, Madhya Pradesh</t>
  </si>
  <si>
    <t>7880154605</t>
  </si>
  <si>
    <t>ayurveda@amaltasgroup.co.in</t>
  </si>
  <si>
    <t>http://amaltasgroup.co.in/ayurvedic/</t>
  </si>
  <si>
    <t>Amaltas Ayurveda Hospital &amp; Research Centre (100-bed, PM-JAY approved), Library, Hostel</t>
  </si>
  <si>
    <t>Private management/NRI-eligible quota, Madhya Pradesh AFRC-fixed fee 2025-26</t>
  </si>
  <si>
    <t>Figure as reported by aggregator citing AFRC-fixed fee; not independently verified against an official AFRC notification. | CareerMudhra BAMS Fees in MP compilation (https://careermudhra.com/bams-fees/bams-fees-in-mp/) - Amaltas Institute of Ayurveda, Dewas Rs 3,80,000/year.</t>
  </si>
  <si>
    <t>MP category-wise fee concessions generally apply only to domicile state-quota seats; no category-wise difference found applicable to other-state candidates on management/AIQ seats.</t>
  </si>
  <si>
    <t>CORPORATE COLLEGE OF AYURVEDIC SCIENCE BHOPAL</t>
  </si>
  <si>
    <t>Bhopal</t>
  </si>
  <si>
    <t>Bhopal, Madhya Pradesh</t>
  </si>
  <si>
    <t>0755-2994880</t>
  </si>
  <si>
    <t>cah@corporatebpl.com</t>
  </si>
  <si>
    <t>https://corporatebpl.com/Ayurved/</t>
  </si>
  <si>
    <t>Private management/AIQ quota, Madhya Pradesh AFRC-fixed fee 2025-26</t>
  </si>
  <si>
    <t>Two aggregator sources give close but not identical figures (Rs 2,00,000 vs Rs 2,13,000); higher/more specific figure used. | CareerMudhra BAMS Fees in MP compilation - Corporate College of Ayurvedic Science, Bhopal Rs 2,13,000/year; Edufever compilation independently cites ~Rs 2,00,000/year for the same college.</t>
  </si>
  <si>
    <t>No category-wise difference found applicable to other-state candidates on management/AIQ seats.</t>
  </si>
  <si>
    <t>DEPARTMENT OF AYURVED AND COMMUNITY IES UNIVERSITY CAMPUS KALKHEDA BHOPAL</t>
  </si>
  <si>
    <t>Private (University Constituent)</t>
  </si>
  <si>
    <t>Kalkheda, Ratibad Main Road, Bhopal - 462044, Madhya Pradesh</t>
  </si>
  <si>
    <t>+91-9285009755</t>
  </si>
  <si>
    <t>contact@iesuniversity.ac.in</t>
  </si>
  <si>
    <t>https://iesayurveda.in/</t>
  </si>
  <si>
    <t>Digital classrooms, Laboratories, Library (2,500+ volumes), Hostel</t>
  </si>
  <si>
    <t>Fee amount not found in available sources; contact college/AFRC directly. | Not located; searched Edufever, Ayurveda Admission, and college site (iesayurveda.in) without finding a specific fee figure.</t>
  </si>
  <si>
    <t>Not determined - fee data unavailable.</t>
  </si>
  <si>
    <t>DR. SHANKAR DAYAL SHARMA AYURVEDIC COLLEGE AND HOSPITAL BHOPAL</t>
  </si>
  <si>
    <t>Bhauri, Bhopal, Madhya Pradesh</t>
  </si>
  <si>
    <t>+919826149917</t>
  </si>
  <si>
    <t>dsdsacollege@gmail.com</t>
  </si>
  <si>
    <t>https://drsdsach.in/</t>
  </si>
  <si>
    <t>An official college fee-structure PDF exists at mpone.in but could not be parsed (image-based PDF); aggregator figure used instead. | CareerMudhra BAMS Fees in MP compilation - Dr. Shankar Dayal Sharma Ayurved College, Bhopal Rs 1,85,000/year (Edufever compilation cites a similar ~Rs 1,85,000-1,91,000 range).</t>
  </si>
  <si>
    <t>FACULTY OF AYURVED MANSAROVAR GLOBAL UNIVERSITY BILKISGANJ SEHORE</t>
  </si>
  <si>
    <t>Sehore</t>
  </si>
  <si>
    <t>Bilkisganj Campus, Mansarovar Global University, Sehore, Madhya Pradesh</t>
  </si>
  <si>
    <t>+91 7611158888</t>
  </si>
  <si>
    <t>ayurveda@mguindia.com</t>
  </si>
  <si>
    <t>https://facultyofayurveda.com/</t>
  </si>
  <si>
    <t>Reported as the highest private BAMS fee in Madhya Pradesh by this aggregator. | CareerMudhra BAMS Fees in MP compilation - Faculty of Ayurveda, Sehore Rs 5,00,700/year (highest private BAMS fee in MP per source).</t>
  </si>
  <si>
    <t>L.N. AYURVED COLLEGE AND HOSPITAL BHOPAL</t>
  </si>
  <si>
    <t>J.K. Town, Kolar Road, Bhopal - 462042, Madhya Pradesh</t>
  </si>
  <si>
    <t>0755-4087028</t>
  </si>
  <si>
    <t>ayurveda@lnctu.ac.in</t>
  </si>
  <si>
    <t>https://lnctu.ac.in/lnac/</t>
  </si>
  <si>
    <t>BAMS, MD (Ayurveda Samhita &amp; Siddhanta), MD (Kriya Sharir), MD (Swasthavritta), MD (Shalakya Tantra), MD (Agad Tantra)</t>
  </si>
  <si>
    <t>Private management/AIQ quota, first-year fee as published by LNCT University 2025-26</t>
  </si>
  <si>
    <t>Rs 30,000 'miscellaneous fee' placed in other_fees; Edufever's lower Rs 2,50,000 figure not used as it conflicts with the college's own published figure and a second aggregator. | LNCT University college page (https://lnctu.ac.in/lnac/) - BAMS fee Rs 4,00,000 plus Rs 30,000 miscellaneous fee for first year; CareerMudhra separately cites Rs 4,00,000/year for the same college (Edufever cites a lower Rs 2,50,000 figure, likely outdated or a different quota).</t>
  </si>
  <si>
    <t>MANDSAUR INSTITUTE OF AYURVED EDUCATION AND RESEARCH MANDSAUR</t>
  </si>
  <si>
    <t>Mandsaur</t>
  </si>
  <si>
    <t>Mhow-Neemuch Road, B.R. Nahata Marg, Opp. Krishi Upaj Mandi, Mandsaur - 458001, Madhya Pradesh</t>
  </si>
  <si>
    <t>+91-8720822111</t>
  </si>
  <si>
    <t>office.ayurved@meu.edu.in</t>
  </si>
  <si>
    <t>https://mandsauruniversity.in/ayurveda/</t>
  </si>
  <si>
    <t>Two aggregators disagree significantly (Rs 1,75,000 vs Rs 2,70,000); more recent CareerMudhra figure used, but this should be verified with the college/AFRC before use. | CareerMudhra BAMS Fees in MP compilation - Mandsaur Institute of Ayurved Education &amp; Research Rs 2,70,000/year (Edufever compilation instead cites Rs 1,75,000/year for the same college).</t>
  </si>
  <si>
    <t>MANSAROVAR AYURVEDIC MEDICAL COLLEGE BHOPAL</t>
  </si>
  <si>
    <t>Village Hinotia Alam, Kolar Road, Bhopal - 462042, Madhya Pradesh</t>
  </si>
  <si>
    <t>+91 761 1150888</t>
  </si>
  <si>
    <t>info@mansarovargroup.com</t>
  </si>
  <si>
    <t>https://www.mamcbhopal.com/</t>
  </si>
  <si>
    <t>Two aggregators disagree (Rs 2,14,000 vs Rs 2,48,000); higher/more recent CareerMudhra figure used, verify with college. | CareerMudhra BAMS Fees in MP compilation - Mansarovar Ayurvedic Medical College, Bhopal Rs 2,48,000/year (Edufever compilation cites a lower Rs 2,14,000/year for the same college).</t>
  </si>
  <si>
    <t>NRI INSTITUTE OF AYURVEDIC MEDICAL SCIENCES BHOPAL</t>
  </si>
  <si>
    <t>+91-9685017181</t>
  </si>
  <si>
    <t>ngiayushbpl@gmail.com</t>
  </si>
  <si>
    <t>https://www.niamsbhopal.com/</t>
  </si>
  <si>
    <t>Arnav Hospital (attached), Library, Hostel</t>
  </si>
  <si>
    <t>Private management/NRI quota, Madhya Pradesh AFRC-fixed fee 2025-26</t>
  </si>
  <si>
    <t>Fee amount not found; college very new (first batches from 2024-25), contact admissions directly. | Not located; college is newly established (2024) under Taramati Educational Society; no fee figure found on aggregators searched (Careers360, Shiksha, college site niamsbhopal.com).</t>
  </si>
  <si>
    <t>OM AYURVEDIC MEDICAL COLLEGE AND HOSPITAL BETUL</t>
  </si>
  <si>
    <t>Betul</t>
  </si>
  <si>
    <t>Jamthi, Betul, Madhya Pradesh</t>
  </si>
  <si>
    <t>+91-8770292562</t>
  </si>
  <si>
    <t>oamcbetul18@gmail.com</t>
  </si>
  <si>
    <t>https://oamc.in/</t>
  </si>
  <si>
    <t>Attached Ayurveda hospital, Library, Hostel, 3-acre campus</t>
  </si>
  <si>
    <t>(filled in gap-fill pass) | oamc.in/oamc-fees.php official fee page</t>
  </si>
  <si>
    <t>PARASHAR AYURVEDIC MEDICAL COLLEGE AND HOSPITAL BHOPAL</t>
  </si>
  <si>
    <t>+91-7723825671</t>
  </si>
  <si>
    <t>pamcbhopal@gmail.com</t>
  </si>
  <si>
    <t>http://www.pamcbhopal.com/</t>
  </si>
  <si>
    <t>Both aggregator sources agree on this figure, giving higher confidence. | CareerMudhra and Edufever BAMS Fees in MP compilations both independently cite Rs 1,56,000/year for Parashar Ayurvedic Medical College and Hospital, Bhopal (lowest private BAMS fee in MP per both sources).</t>
  </si>
  <si>
    <t>POORNAYU AYURVED CHIKITSALAYA EVAM ANUSANDHAN VIDYAPEETH GIRLS COLLEGE JABALPUR</t>
  </si>
  <si>
    <t>Jabalpur</t>
  </si>
  <si>
    <t>Jabalpur, Madhya Pradesh</t>
  </si>
  <si>
    <t>9289495501</t>
  </si>
  <si>
    <t>poornayuayurved@gmail.com</t>
  </si>
  <si>
    <t>https://poornayuayurved.org/</t>
  </si>
  <si>
    <t>Attached Ayurveda hospital, Library, Hostel (Girls college)</t>
  </si>
  <si>
    <t>College-specific seat count/address not located; a women's/girls BAMS college. | CareerMudhra BAMS Fees in MP compilation - Poornayu Ayurvedic College, Jabalpur Rs 3,00,000/year.</t>
  </si>
  <si>
    <t>PT. SHIV SHAKTILAL SHARMA AYURVED MEDICAL COLLEGE RATLAM</t>
  </si>
  <si>
    <t>Ratlam</t>
  </si>
  <si>
    <t>Ratlam, Madhya Pradesh</t>
  </si>
  <si>
    <t>94248-94249</t>
  </si>
  <si>
    <t>ayurvedcollege2000@gmail.com</t>
  </si>
  <si>
    <t>https://ayurvediccollegeratlam.com/</t>
  </si>
  <si>
    <t>Two aggregators disagree (Rs 1,91,000 vs Rs 2,29,200); CareerMudhra figure used, verify with college. | CareerMudhra BAMS Fees in MP compilation - Pt. Shivshaktilal Sharma Ayurvedic College, Ratlam Rs 2,29,200/year (Edufever compilation cites a lower Rs 1,91,000/year).</t>
  </si>
  <si>
    <t>R. N. KAPOOR MEMORIAL AYURVEDIC MEDICAL COLLEGE AND HOSPITAL INDORE</t>
  </si>
  <si>
    <t>Indore</t>
  </si>
  <si>
    <t>Indore, Madhya Pradesh</t>
  </si>
  <si>
    <t>+91-9174007612</t>
  </si>
  <si>
    <t>info@rnkmamc.in</t>
  </si>
  <si>
    <t>https://rnkmamc.in/</t>
  </si>
  <si>
    <t>College-specific seat count/address not located. | CareerMudhra BAMS Fees in MP compilation - R.N. Kapoor Memorial Ayurvedic Medical College, Indore Rs 2,80,000/year.</t>
  </si>
  <si>
    <t>RADHARAMAN AYURVED MEDICAL COLLEGE RESEARCH HOSPITAL BHOPAL</t>
  </si>
  <si>
    <t>9977330164</t>
  </si>
  <si>
    <t>ayurveda@radharamanbhopal.com</t>
  </si>
  <si>
    <t>https://www.rgibhopal.com/ayurveda/</t>
  </si>
  <si>
    <t>College-specific seat count/address not located. | CareerMudhra BAMS Fees in MP compilation - Radharaman Ayurved Medical College, Bhopal Rs 2,25,000/year.</t>
  </si>
  <si>
    <t>RAJEEV GANDHI AYURVED COLLEGE HOSPITAL AND PHARMACY BHOPAL</t>
  </si>
  <si>
    <t>9826065507</t>
  </si>
  <si>
    <t>principalrgac@gmail.com</t>
  </si>
  <si>
    <t>https://www.rgayurvedacollege.org/</t>
  </si>
  <si>
    <t>Attached Ayurveda hospital, Pharmacy, Library, Hostel</t>
  </si>
  <si>
    <t>College-specific seat count/address not located. | Edufever Madhya Pradesh Ayush Colleges Fee Structure compilation - Rajeev Gandhi Ayurvedic College Hospital, Bhopal Rs 1,82,500/year.</t>
  </si>
  <si>
    <t>RAM KRISHNA COLLEGE OF AYURVEDA AND MEDICAL SCIENCES BHOPAL</t>
  </si>
  <si>
    <t>RKDF University Campus, Bhopal, Madhya Pradesh</t>
  </si>
  <si>
    <t>0755-2743810</t>
  </si>
  <si>
    <t>rkdfuniversitybpl@gmail.com</t>
  </si>
  <si>
    <t>https://rkcams.in/</t>
  </si>
  <si>
    <t>Fee amount not found in available sources. | Not located in CareerMudhra/Edufever MP fee tables or on aggregator pages searched; contact details from rkdf.ac.in and edufever.</t>
  </si>
  <si>
    <t>RANI DULLAIYA SMIRITI AYURVEDIC PG COLLEGE &amp; HOSPITAL, BHOPAL</t>
  </si>
  <si>
    <t>07552696776</t>
  </si>
  <si>
    <t>rdayurved@gmail.com</t>
  </si>
  <si>
    <t>https://rdmayurvedcollege.org/</t>
  </si>
  <si>
    <t>College-specific seat count/address not located. | CareerMudhra BAMS Fees in MP compilation - Rani Dullaiya Smriti Ayurvedic P.G. College Rs 3,84,000/year.</t>
  </si>
  <si>
    <t>SAM COLLEGE OF AYURVEDIC SCIENCES AND HOSPITAL BHOPAL</t>
  </si>
  <si>
    <t>Bhopal / Raisen area, Madhya Pradesh</t>
  </si>
  <si>
    <t>7024770000</t>
  </si>
  <si>
    <t>care@samayurveda.in</t>
  </si>
  <si>
    <t>https://samayurveda.in/</t>
  </si>
  <si>
    <t>Location discrepancy between input (Bhopal) and source (Raisen, a district adjoining Bhopal) not resolved; fee figure applied assuming same college. | Edufever Madhya Pradesh Ayush Colleges Fee Structure compilation - SAM College of Ayurvedic Science and Hospital, Raisen Rs 1,56,000/year (input list gives location as Bhopal; likely same institution, exact city unconfirmed).</t>
  </si>
  <si>
    <t>SARDAR AJIT SINGH SMRITI AYURVED COLLEGE BHOPAL</t>
  </si>
  <si>
    <t>+91-8269423200</t>
  </si>
  <si>
    <t>2021ayu0631@gmail.com</t>
  </si>
  <si>
    <t>https://sassam.org/</t>
  </si>
  <si>
    <t>Reported fee range too wide/inconsistent to extract a reliable annual BAMS fee; not included in CareerMudhra/Edufever MP tables either. Contact college/AFRC MP directly. | Shiksha.com reported a wide, inconsistent fee range (Rs 40,000 to Rs 10,41,750) across different course/category listings for Sardar Ajit Singh Smriti Ayurved Mahavidyalaya, Bhopal; not usable as a specific annual BAMS management-quota figure.</t>
  </si>
  <si>
    <t>SARDAR PATEL AYURVEDIC MEDICAL COLLEGE AND HOSPITAL BALAGHAT</t>
  </si>
  <si>
    <t>Private Trust</t>
  </si>
  <si>
    <t>Balaghat</t>
  </si>
  <si>
    <t>Sardar Patel Knowledge City, Waraseoni Road, Dongariya, Balaghat, Madhya Pradesh - 481001</t>
  </si>
  <si>
    <t>+91 6261084551, 9713226337</t>
  </si>
  <si>
    <t>2021ayu0659@spubgt.ac.in</t>
  </si>
  <si>
    <t>https://spamc.in/</t>
  </si>
  <si>
    <t>Attached Ayurveda hospital (100+ beds), Panchakarma centre, Pharmacy, Library, Herbal garden</t>
  </si>
  <si>
    <t>Private BAMS fee 2025 (careermudhra college-wise listing; consolidated fee per MP AFRC format)</t>
  </si>
  <si>
    <t>Figure is a secondary aggregator (careermudhra) estimate, not the official AFRC order for this specific college (could not locate this college's individual AFRC order). MP AFRC fees are consolidated tuition+development (no separate breakup) and are the same fee for all admitted students (state or AIQ/other-state), so open=obc=ews=sc=st. | Careermudhra BAMS Fees in MP (https://careermudhra.com/bams-fees/bams-fees-in-mp/); college site https://spamc.in/</t>
  </si>
  <si>
    <t>MP AFRC-regulated private BAMS fee applies uniformly to all admitted candidates regardless of category or domicile; no separate NRI/management fee found.</t>
  </si>
  <si>
    <t>SARVEPALLI RADHAKRISHNAN COLLEGE OF AYURVED HOSPITAL AND RESEARCH CENTRE COLLEGE BHOPAL</t>
  </si>
  <si>
    <t>NH-12, Hoshangabad Road, Jathedi, Bhopal - 462026, Madhya Pradesh</t>
  </si>
  <si>
    <t>http://www.srkcahrc.in/</t>
  </si>
  <si>
    <t>Fee figure not found in available sources (careermudhra listed NA for this college); college's individual AFRC fee order not located online.</t>
  </si>
  <si>
    <t>Not determinable without fee figure.</t>
  </si>
  <si>
    <t>SCHOOL OF AYURVEDA AND SIDDHA SEHORE</t>
  </si>
  <si>
    <t>Bhopal-Indore Road, Opposite Oilfed Plant, Sehore, Madhya Pradesh - 466001</t>
  </si>
  <si>
    <t>+91-7562-222482, 9977611376, 7748900027</t>
  </si>
  <si>
    <t>info@sssutms.co.in</t>
  </si>
  <si>
    <t>https://sssutms-soa.in/</t>
  </si>
  <si>
    <t>Figure is a secondary aggregator (careermudhra) estimate; this college's individual AFRC order not located online. MP AFRC fees are consolidated tuition+development, uniform for all admitted students. | Careermudhra BAMS Fees in MP (https://careermudhra.com/bams-fees/bams-fees-in-mp/)</t>
  </si>
  <si>
    <t>MP AFRC-regulated private BAMS fee applies uniformly to all admitted candidates regardless of category or domicile.</t>
  </si>
  <si>
    <t>SCHOOL OF AYURVEDA SCIENCE SANCHI RAISEN</t>
  </si>
  <si>
    <t>Raisen</t>
  </si>
  <si>
    <t>Agaria Chopda, Bilkhiria, Block Sanchi, Raisen, Madhya Pradesh - 464551</t>
  </si>
  <si>
    <t>+91 7024770000</t>
  </si>
  <si>
    <t>http://www.sam-ayurveda.in/</t>
  </si>
  <si>
    <t>Private BAMS fee 2025 (secondary aggregator estimate; consolidated fee per MP AFRC format)</t>
  </si>
  <si>
    <t>Figure is a secondary aggregator estimate; this college's individual AFRC order not located online. | Kaullege/aggregator listing citing Rs 2,20,000/year (searched via web); college site samayurveda.in</t>
  </si>
  <si>
    <t>SHUBHDEEP AYURVED MEDICAL COLLEGE AND HOSPITAL INDORE</t>
  </si>
  <si>
    <t>Village Datoda, Near Chokhi Dhani, Khandwa Road, Tehsil Mhow, Dist. Indore, Madhya Pradesh; City Office: 303, Starlit Tower, Y.N. Road, Indore - 452003</t>
  </si>
  <si>
    <t>9522236740, 9893703838</t>
  </si>
  <si>
    <t>info@shubhdeep.com</t>
  </si>
  <si>
    <t>http://www.shubhdeep.com/</t>
  </si>
  <si>
    <t>Figure is a secondary aggregator (careermudhra) estimate; a separate source (indiamart listing) also cited Rs 2,41,000/year and another cited a total course fee of ~Rs 10.3 lakh for 5.5 years, i.e. roughly Rs 1.87 lakh/year if divided over 5.5 years — figures are inconsistent across sources so treat with caution. This college's individual AFRC order not located online. | Careermudhra BAMS Fees in MP (https://careermudhra.com/bams-fees/bams-fees-in-mp/)</t>
  </si>
  <si>
    <t>SRI SAI INSTITUTE OF AYURVEDIC RESEARCH AND MEDICINE BHOPAL</t>
  </si>
  <si>
    <t>Mansarovar Campus, Hinotia Alam, Ward No. 84, Rani Avantibai Marg, Kolar Road, Bhopal, Madhya Pradesh - 462042</t>
  </si>
  <si>
    <t>+91 7611148888</t>
  </si>
  <si>
    <t>https://siarambhopal.com/</t>
  </si>
  <si>
    <t>Attached Ayurveda hospital (100 beds), Pharmacy, Library, 13 specialized departments, Smart classrooms</t>
  </si>
  <si>
    <t>MP AFRC-declared consolidated BAMS fee (as stated on college website)</t>
  </si>
  <si>
    <t>College site itself states this figure is the AFRC-declared fee, making it the most reliable figure among the MP colleges in this batch. AFRC fee is a consolidated tuition+development fee, uniform for all admitted students. | College website https://siarambhopal.com/ (states 'Rs 4,07,250 per annum as declared by AFRC Madhya Pradesh'); corroborated by Careermudhra BAMS Fees in MP</t>
  </si>
  <si>
    <t>VEENA VADINI AYURVED COLLEGE AND HOSPITAL BHOPAL</t>
  </si>
  <si>
    <t>0755-2493749</t>
  </si>
  <si>
    <t>https://www.vvacbhopal.com/</t>
  </si>
  <si>
    <t>Attached Ayurveda hospital, Herbal garden (2+ acres), Pharmacy, Library, Hostel</t>
  </si>
  <si>
    <t>MP AFRC order dated 31.10.2022, fee fixed for admission sessions 2022-23, 2023-24 &amp; 2024-25 (per-batch fixed fee, does not change during course tenure)</t>
  </si>
  <si>
    <t>Official order: tuition fee (consolidated, includes development fee) Rs 1,60,000/year for students admitted in 2022-23/2023-24/2024-25 batch, fixed for their whole course tenure; one-time refundable caution money Rs 5,000 (excluded here, not an annual fee). Fee for the 2025-26 admission block may be revised (order says fee reviewed after 3 sessions in 2025-26) but the revised order was not found; careermudhra lists Rs 1,92,000/year as a more recent secondary estimate for 2025. | Official AFRC (Admission and Fee Regulatory Committee, Govt of MP) order No. Sectt/AFRC/2022/1830 dated 31.10.2022, published at https://www.vvacbhopal.com/fee-structure-fixed-by-%20afrc.pdf</t>
  </si>
  <si>
    <t>AFRC order does not distinguish by caste category or domicile; fee is uniform for all students admitted via counselling (state or AIQ/other-state).</t>
  </si>
  <si>
    <t>VIJYASHREE AYURVEDIC MEDICAL COLLEGE AND HOSPITAL JABALPUR</t>
  </si>
  <si>
    <t>JDA Scheme No. 41/65, Gram Basaha, Near Swami Vivekananda Moorti, Ekta Chowk, Vijay Nagar, Jabalpur - 482002, Madhya Pradesh</t>
  </si>
  <si>
    <t>+91-7771000773, 9425157635</t>
  </si>
  <si>
    <t>vijyashreeindia@gmail.com</t>
  </si>
  <si>
    <t>https://vamch.edu.in/</t>
  </si>
  <si>
    <t>Attached Ayurveda hospital, Pharmacy, Library</t>
  </si>
  <si>
    <t>Site states fee is subject to a pending High Court decision (filled in gap-fill pass) | https://vamch.edu.in/tution-fee/ (college's own BAMS UG tuition fee page)</t>
  </si>
  <si>
    <t>Baba Hira Dass ji Ayurvedic Medical College &amp; Hospital V.P.O Badal , Muktsar</t>
  </si>
  <si>
    <t>Punjab</t>
  </si>
  <si>
    <t>Sri Muktsar Sahib</t>
  </si>
  <si>
    <t>VPO Badal, District Sri Muktsar Sahib, Punjab - 152113</t>
  </si>
  <si>
    <t>+91 7307300001, +91 8459900004</t>
  </si>
  <si>
    <t>babahiradasayurvediccollege@gmail.com</t>
  </si>
  <si>
    <t>http://www.bhdjamch.com/</t>
  </si>
  <si>
    <t>Punjab private BAMS fee 2025-26 (Guru Ravidas Ayurved University-affiliated colleges; 100% seats filled via Punjab AYUSH/GRAU counselling, open to all-India candidates)</t>
  </si>
  <si>
    <t>Source figure printed as 'Rs 2,00,0000' - interpreted as Rs 2,00,000/year (one extra zero, consistent with the stated overall Punjab private BAMS range of Rs 1.8-2.0 lakh). Could not locate an official GRAU/BFUHS fee notification specifically for this college to confirm. | ucsworld.com Punjab BAMS Fees 2025-26 (https://ucsworld.com/punjab-bams-fees/) and ayushcounselling.in (https://ayushcounselling.in/private-bams-colleges-fee-structure-in-punjab/), listing 'Baba Hira Das Ji Ayurvedic Medical College &amp; Hospital, Badal' at Rs 2,00,0000 (read as Rs 2,00,000, likely a typo with an extra zero)</t>
  </si>
  <si>
    <t>Punjab AYUSH counselling for private BAMS colleges is 100% NEET-based and open to candidates from any state; the regulated fee is uniform across categories.</t>
  </si>
  <si>
    <t>Babe Ke Ayurvedic Medical College &amp; Hospital, VPO Daudhar, Via Ajitwal, Distt. Moga</t>
  </si>
  <si>
    <t>Moga</t>
  </si>
  <si>
    <t>VPO Daudhar, Via Ajitwal, District Moga, Punjab - 142053</t>
  </si>
  <si>
    <t>9041707900</t>
  </si>
  <si>
    <t>admissions@babekegroupofinstitutes.org</t>
  </si>
  <si>
    <t>https://babekegroupofinstitutes.org/bkamch/</t>
  </si>
  <si>
    <t>Punjab private BAMS fee 2025-26 (100% seats via Punjab AYUSH/GRAU counselling, open to all-India candidates)</t>
  </si>
  <si>
    <t>Listed as the lowest private BAMS fee in Punjab (Rs 1,20,000/year) among the sources reviewed. | ucsworld.com Punjab BAMS Fees 2025-26 (https://ucsworld.com/punjab-bams-fees/) and ayushcounselling.in (https://ayushcounselling.in/private-bams-colleges-fee-structure-in-punjab/)</t>
  </si>
  <si>
    <t>Dayanand Ayurvedic College, Mahatma Hans Raj Marg, G.T. Road, Jalandhar</t>
  </si>
  <si>
    <t>Jalandhar</t>
  </si>
  <si>
    <t>Mahatma Hans Raj Marg, Gurdev Nagar, G.T. Road, Jalandhar, Punjab - 144008</t>
  </si>
  <si>
    <t>0181-2253571, 0181-2253572</t>
  </si>
  <si>
    <t>davayur1898@gmail.com</t>
  </si>
  <si>
    <t>https://davayurveda.com/</t>
  </si>
  <si>
    <t>BAMS, MD (Panchakarma), MD (Dravyaguna)</t>
  </si>
  <si>
    <t>Attached Ayurveda hospital (63 beds), Multi-specialty clinics, On-campus pharmacy, Library, Hostel</t>
  </si>
  <si>
    <t>ucsworld.com Punjab BAMS Fees 2025-26 (https://ucsworld.com/punjab-bams-fees/) and ayushcounselling.in (https://ayushcounselling.in/private-bams-colleges-fee-structure-in-punjab/)</t>
  </si>
  <si>
    <t>Desh Bhagat Ayurvedic College and Hospital, Mandi Gobindgarh affiliated with Desh Bhagat University, Mandi Gobindgarh.</t>
  </si>
  <si>
    <t>Mandi Gobindgarh</t>
  </si>
  <si>
    <t>Amloh Road, Village Sounti, District Fatehgarh Sahib (near Mandi Gobindgarh), Punjab</t>
  </si>
  <si>
    <t>01765-520540, 01765-520542, 01765-520543</t>
  </si>
  <si>
    <t>dbacandh@yahoo.com</t>
  </si>
  <si>
    <t>http://www.dbach.in/</t>
  </si>
  <si>
    <t>ucsworld.com / ayushcounselling.in, listed as 'Desh Bhagat Ayurved Medical College &amp; Hospital, Fatehgarh' (same institution near Mandi Gobindgarh, affiliated with Desh Bhagat University)</t>
  </si>
  <si>
    <t>G.H.G. Ayurvedic Medical College and Hospital, Raikot, Ludhiana</t>
  </si>
  <si>
    <t>Raikot, Ludhiana</t>
  </si>
  <si>
    <t>Opposite Reliance Petrol Pump, Ludhiana Road, Raikot, District Ludhiana, Punjab - 141109</t>
  </si>
  <si>
    <t>+91-9815950944, +91-9876293608</t>
  </si>
  <si>
    <t>ghgamc@gmail.com</t>
  </si>
  <si>
    <t>https://ghgayurvediccollege.com/</t>
  </si>
  <si>
    <t>Attached Bansal Hospital, Library, Hostel</t>
  </si>
  <si>
    <t>This college was not found in the college-wise Punjab fee tables located (likely too new); the state-standard private BAMS fee of Rs 1,80,000/year has been applied as an estimate, not a confirmed figure for this specific college. | Estimated as the Punjab-standard private BAMS fee per ucsworld.com/ayushcounselling.in; this newly established (2024) college was not individually listed in the fee tables found</t>
  </si>
  <si>
    <t>Guru Nanak Ayurvedic Medical College &amp; Research Institute, Malerkotla Road, VPO Gopalpur, Distt. Ludhiana</t>
  </si>
  <si>
    <t>Ludhiana</t>
  </si>
  <si>
    <t>Malerkotla Road, VPO Gopalpur, District Ludhiana, Punjab</t>
  </si>
  <si>
    <t>+91 8196000888</t>
  </si>
  <si>
    <t>lgnecsociety@gmail.com</t>
  </si>
  <si>
    <t>https://www.gnes.in/</t>
  </si>
  <si>
    <t>College-specific address/contact details beyond the counselling-list address could not be confirmed within available search results (WebSearch quota was exhausted during this research batch). | ucsworld.com Punjab BAMS Fees 2025-26 (https://ucsworld.com/punjab-bams-fees/) and ayushcounselling.in, listed as 'Guru Nanak Ayurvedic Medical College &amp; Research Institute, Ludhiana'</t>
  </si>
  <si>
    <t>Guru Nanak Ayurvedic Medical College, Barkandi Road, Near Ajit Cinema, Muktsar</t>
  </si>
  <si>
    <t>Barkandi Road, Near Ajit Cinema, Muktsar, Punjab</t>
  </si>
  <si>
    <t>01633-261058</t>
  </si>
  <si>
    <t>gnamcmkt@gmail.com</t>
  </si>
  <si>
    <t>https://gnamchmks.co.in/</t>
  </si>
  <si>
    <t>College-specific address/contact details beyond the counselling-list address could not be confirmed within available search results (WebSearch quota was exhausted during this research batch). | ucsworld.com Punjab BAMS Fees 2025-26 (https://ucsworld.com/punjab-bams-fees/) and ayushcounselling.in, listed as 'Guru Nanak Ayurvedic Medical College and Hospital, Muktsar'</t>
  </si>
  <si>
    <t>Harmony Ayurvedic Medical College and Hospital , Ferozepur</t>
  </si>
  <si>
    <t>Ferozepur</t>
  </si>
  <si>
    <t>Ferozepur, Punjab</t>
  </si>
  <si>
    <t>+91-94636-00071</t>
  </si>
  <si>
    <t>hemcsfzr3@gmail.com</t>
  </si>
  <si>
    <t>https://www.harmonyfzr.com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</si>
  <si>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'Harmony Ayurvedic Medical College &amp; Hospital, Ferozepur'</t>
  </si>
  <si>
    <t>Khalsa Ayurvedic Medical College &amp; Hospital,V.P.O Nangal Kalan, Mansa, Punjab</t>
  </si>
  <si>
    <t>Mansa</t>
  </si>
  <si>
    <t>VPO Nangal Kalan, District Mansa, Punjab</t>
  </si>
  <si>
    <t>+91 87081 26944</t>
  </si>
  <si>
    <t>Kamcmansa@gmail.com</t>
  </si>
  <si>
    <t>https://www.kamcmansa.com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</si>
  <si>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'Khalsa Ayurvedic Medical College &amp; Hospital, Mansa'</t>
  </si>
  <si>
    <t>Mai Bhago Ayurvedic College, (For Women), Ferozepur Road, Muktsar</t>
  </si>
  <si>
    <t>Ferozepur Road, Muktsar, Punjab</t>
  </si>
  <si>
    <t>https://www.maibhagogroup.com</t>
  </si>
  <si>
    <t>Attached Ayurveda hospital, Library, Hostel (Women's college)</t>
  </si>
  <si>
    <t>College-specific address/contact details could not be confirmed within available search results (WebSearch quota was exhausted during this research batch). This is a women-only college. | ucsworld.com Punjab BAMS Fees 2025-26 (https://ucsworld.com/punjab-bams-fees/) and ayushcounselling.in, listed as 'Mai Bhago Ayurvedic Medical College for Women, Muktsar'</t>
  </si>
  <si>
    <t>Punjab Institute of Ayurveda, Abohar</t>
  </si>
  <si>
    <t>Abohar</t>
  </si>
  <si>
    <t>Hanumangarh Road, Abohar, Punjab</t>
  </si>
  <si>
    <t>+91 8968363868</t>
  </si>
  <si>
    <t>mail@piaabohar.com</t>
  </si>
  <si>
    <t>https://www.piaabohar.com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</si>
  <si>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'Punjab Institute of Ayurved, Hanumangarh Road'</t>
  </si>
  <si>
    <t>Saint Sahara Ayurvedic Medical College &amp; Hospital, Kot Shameer, Bathinda</t>
  </si>
  <si>
    <t>Bathinda</t>
  </si>
  <si>
    <t>Kot Shameer, District Bathinda, Punjab</t>
  </si>
  <si>
    <t>0164-2436998</t>
  </si>
  <si>
    <t>admissionsaintsahara@gmail.com</t>
  </si>
  <si>
    <t>https://ssamchbathinda.com/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</si>
  <si>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'Saint Sahara Ayurved Medical College &amp; Hospital, Bhatinda'</t>
  </si>
  <si>
    <t>Saraswati Ayurvedic Hospital &amp; Medical College, Tehsil Kharar, Mohali</t>
  </si>
  <si>
    <t>Mohali</t>
  </si>
  <si>
    <t>Tehsil Kharar, District Mohali, Punjab</t>
  </si>
  <si>
    <t>+91 8360779165</t>
  </si>
  <si>
    <t>info@sgcollege.edu.in</t>
  </si>
  <si>
    <t>https://sgcollege.edu.in/ayurveda/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</si>
  <si>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'Saraswati Ayurved Hospital and Medical College, Mohali'</t>
  </si>
  <si>
    <t>Shaheed Kartar Singh Sarabha Ayurvedic Medical College &amp; Hospital, VPO Sarabha, Distt. Ludhiana</t>
  </si>
  <si>
    <t>VPO Sarabha, District Ludhiana, Punjab</t>
  </si>
  <si>
    <t>+91 70871 53807</t>
  </si>
  <si>
    <t>skssayuvediccollegesarabha@gmail.com</t>
  </si>
  <si>
    <t>http://skssayucollege.com/</t>
  </si>
  <si>
    <t>Source figure printed as 'Rs 2,00,0000' - interpreted as Rs 2,00,000/year (one extra zero, consistent with the stated overall Punjab private BAMS range of Rs 1.8-2.0 lakh). | ucsworld.com Punjab BAMS Fees 2025-26 (https://ucsworld.com/punjab-bams-fees/) and ayushcounselling.in, listed as 'SKSS Ayurved Medical College &amp; Hospital, Ludhiana' (Shaheed Kartar Singh Sarabha)</t>
  </si>
  <si>
    <t>Shiv Shakti Ayurvedic Medical College and Hospital Sunam Road ,Bhikhi, Mansa</t>
  </si>
  <si>
    <t>Sunam Road, Bhikhi, District Mansa, Punjab</t>
  </si>
  <si>
    <t>+91 97800 08742</t>
  </si>
  <si>
    <t>ssconbhikhi@gmail.com</t>
  </si>
  <si>
    <t>http://ssgcbams.co.in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</si>
  <si>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'Shiv Shakti Ayurvedic Medical College, Mansa'</t>
  </si>
  <si>
    <t>Shri Lakshmi Narayan Ayurvedic College, O/S Lohgarh Gate, Amritsar</t>
  </si>
  <si>
    <t>Amritsar</t>
  </si>
  <si>
    <t>O/S Lohgarh Gate, Amritsar, Punjab</t>
  </si>
  <si>
    <t>01832557444</t>
  </si>
  <si>
    <t>slnaycollege@yahoo.com</t>
  </si>
  <si>
    <t>http://slnaycollege.in</t>
  </si>
  <si>
    <t>College-specific address/contact details could not be confirmed within available search results (WebSearch quota was exhausted during this research batch). | ucsworld.com Punjab BAMS Fees 2025-26 (https://ucsworld.com/punjab-bams-fees/) and ayushcounselling.in, listed as 'Shri L.N. Ayurvedic College, Amritsar'</t>
  </si>
  <si>
    <t>Smt. Urmila Devi College of Medical Sciences &amp; Hospital, VPO Kharkan, Una Road, Hoshiarpur</t>
  </si>
  <si>
    <t>Hoshiarpur</t>
  </si>
  <si>
    <t>VPO Kharkan, Una Road, Hoshiarpur, Punjab</t>
  </si>
  <si>
    <t>+91 9592593900</t>
  </si>
  <si>
    <t>https://urmiladeviinstitutes.com/</t>
  </si>
  <si>
    <t>Attached hospital, Library, Hostel</t>
  </si>
  <si>
    <t>Source figure printed as 'Rs 2,00,0000' - interpreted as Rs 2,00,000/year (one extra zero, consistent with the stated overall Punjab private BAMS range of Rs 1.8-2.0 lakh). | ucsworld.com Punjab BAMS Fees 2025-26 (https://ucsworld.com/punjab-bams-fees/) and ayushcounselling.in, listed as 'Smt. Urmila Devi Ayurvedic College of Med. Sciences &amp; Hospital, Hoshiarpur'</t>
  </si>
  <si>
    <t>Sri Satya Sai Murlidhar Ayurvedic College, G.T. Road, VPO Dunike, Moga</t>
  </si>
  <si>
    <t>G.T. Road, VPO Dunike, District Moga, Punjab</t>
  </si>
  <si>
    <t>9357917577, 9855190787</t>
  </si>
  <si>
    <t>principaalssmdcollege@yahoo.in</t>
  </si>
  <si>
    <t>https://www.ssmdayurvediccollege.com/</t>
  </si>
  <si>
    <t>BAMS, Diploma in Pharmacy (Ayurveda)</t>
  </si>
  <si>
    <t>Total-course fee (~Rs 8,10,000) was divided by 4.5 academic years (BAMS is 4.5 years academic + 1 year internship; fee is typically charged for the 4.5 academic years) to arrive at the annual figure. | Derived from a secondary aggregator's total-course fee figure of approx. Rs 8,10,000 for the full BAMS course, divided by 4.5 academic years (=~Rs 1,80,000/year), which matches the Punjab-standard private BAMS fee reported by ucsworld.com/ayushcounselling.in</t>
  </si>
  <si>
    <t>Aroma Ayurved Medical College and Hospital, Santarshah, Roorkee, HaridwaR</t>
  </si>
  <si>
    <t>Uttarakhand</t>
  </si>
  <si>
    <t>Haridwar</t>
  </si>
  <si>
    <t>Santarshah, Roorkee, Haridwar, Uttarakhand</t>
  </si>
  <si>
    <t>8266880017</t>
  </si>
  <si>
    <t>aromahospital2020@gmail.com</t>
  </si>
  <si>
    <t>aromaayurveda.com</t>
  </si>
  <si>
    <t>Hospital (general/ICU beds, Bipap, ventilator), Classrooms, Labs, Library, Hostel, Sports facilities, Gym</t>
  </si>
  <si>
    <t>Private management/open (100% seats) quota 2025-26, Uttarakhand Ayurved University counselling</t>
  </si>
  <si>
    <t>Only a total annual figure of Rs 2,40,000 published; placed fully in tuition_fee. | ayushcounselling.in Private BAMS Colleges Fee Structure Uttarakhand 2025-26 (https://ayushcounselling.in/bams-colleges-fee-structure-in-uttarakhand/)</t>
  </si>
  <si>
    <t>100% seats at Uttarakhand private BAMS colleges are filled via state AYUSH counselling; no category-wise fee split published.</t>
  </si>
  <si>
    <t>Beehive Ayurved Medical College and Hospital, Central Hopetown, Selaquie, Dehradun</t>
  </si>
  <si>
    <t>Dehradun</t>
  </si>
  <si>
    <t>Central Hopetown, Selaquie, Dehradun, Uttarakhand</t>
  </si>
  <si>
    <t>bamc.beehivecollege.com</t>
  </si>
  <si>
    <t>Hospital with 24-hour emergency, All academic departments, Herbal garden</t>
  </si>
  <si>
    <t>Only a total annual figure of Rs 2,21,000 published; placed fully in tuition_fee. | ayushcounselling.in Private BAMS Colleges Fee Structure Uttarakhand 2025-26 (https://ayushcounselling.in/bams-colleges-fee-structure-in-uttarakhand/)</t>
  </si>
  <si>
    <t>No category-wise fee split published.</t>
  </si>
  <si>
    <t>Bishamber Sahai Ayurved Medical College and Research Centre, Roorkee</t>
  </si>
  <si>
    <t>Roorkee</t>
  </si>
  <si>
    <t>6 KM Milestone, Delhi-Dehradun Highway, Village Saliyar, Roorkee, Uttarakhand</t>
  </si>
  <si>
    <t>9837127404</t>
  </si>
  <si>
    <t>gaurav.sh039@gmail.com</t>
  </si>
  <si>
    <t>www.bsigrouprke.in</t>
  </si>
  <si>
    <t>Well-equipped OPD/IPD, Separate hostels for boys and girls, Library, Modern labs, Transport</t>
  </si>
  <si>
    <t>Could not confirm exact annual fee figure from available sources; college was not listed in the ayushcounselling.in Uttarakhand fee table pulled. Left null rather than invent a figure. | cutoffbaba.com, shiksha.com, ayushcounselling.in listings for Bishamber Sahai Group of Institutes (fee figure not disclosed)</t>
  </si>
  <si>
    <t>No category-wise fee data found.</t>
  </si>
  <si>
    <t>Coer Medical College of Ayurved and Hospital, Roorkee, Haridwar</t>
  </si>
  <si>
    <t>Roorkee, Haridwar, Uttarakhand</t>
  </si>
  <si>
    <t>8070500600</t>
  </si>
  <si>
    <t>medicaladmission@coer.ac.in</t>
  </si>
  <si>
    <t>coerayurveda.org</t>
  </si>
  <si>
    <t>60-bed hospital (general/ICU beds, Bipap, ventilator, Panchakarma, Physiotherapy, Yoga centre), Library, Hostel</t>
  </si>
  <si>
    <t>Only a total annual figure of Rs 2,15,000 published; placed fully in tuition_fee. | ayushcounselling.in Private BAMS Colleges Fee Structure Uttarakhand 2025-26 (https://ayushcounselling.in/bams-colleges-fee-structure-in-uttarakhand/) (listed as 'Core Medical College Of Ayurveda And Hospital')</t>
  </si>
  <si>
    <t>Dev Bhoomi Medical College of Ayurveda and Hospital, Navgaon, Manduwala, Dehradun</t>
  </si>
  <si>
    <t>Navgaon, Manduwala, Dehradun, Uttarakhand</t>
  </si>
  <si>
    <t>01352694241</t>
  </si>
  <si>
    <t>info@dbgidoon.ac.in</t>
  </si>
  <si>
    <t>dbmcah.org</t>
  </si>
  <si>
    <t>250-bed hospital (OT, X-ray, Panchakarma, Physiotherapy, Yoga hall), Hostel (separate for boys/girls), Gym, Canteen, Library, Conference room, Smart class, Computer lab</t>
  </si>
  <si>
    <t>Only a total annual figure of Rs 3,50,000 published; placed fully in tuition_fee. | ayushcounselling.in Private BAMS Colleges Fee Structure Uttarakhand 2025-26 (https://ayushcounselling.in/bams-colleges-fee-structure-in-uttarakhand/)</t>
  </si>
  <si>
    <t>Doon Institute of Ayurved Faculty medical Sciences, Shankarpur, Shahaspur, Dehradun</t>
  </si>
  <si>
    <t>Shankarpur, Shahaspur, Dehradun, Uttarakhand</t>
  </si>
  <si>
    <t>9389097888</t>
  </si>
  <si>
    <t>dimsdehradun.com</t>
  </si>
  <si>
    <t>Hospital with 24-hour emergency, Modern lecture halls, Ayurvedic herbal garden, Research labs, Yoga/meditation spaces</t>
  </si>
  <si>
    <t>Only a total annual figure of Rs 2,04,600 published; placed fully in tuition_fee. Name match to 'Doon Institute of Ayurved Faculty Medical Sciences' is inferred (same Doon/Shahaspur cluster) but not 100% certain. | ayushcounselling.in Private BAMS Colleges Fee Structure Uttarakhand 2025-26 (https://ayushcounselling.in/bams-colleges-fee-structure-in-uttarakhand/) (listed as 'Doon Ayurvedic Medical College &amp; Hospital')</t>
  </si>
  <si>
    <t>Haridwar Ayurvedic Medical College and Hospital, mushtafabad, laksar road, Haridwar.</t>
  </si>
  <si>
    <t>Mushtafabad, Laksar Road, Haridwar, Uttarakhand</t>
  </si>
  <si>
    <t>8057484682</t>
  </si>
  <si>
    <t>info@hamcrc.com</t>
  </si>
  <si>
    <t>hamrc.org</t>
  </si>
  <si>
    <t>Hospital (OPD/IPD), Hostel, Pharmacy, Auditorium, Labs, Library, Sports and NSS</t>
  </si>
  <si>
    <t>Only a total annual figure of Rs 5,40,000 published (highest among UK private colleges); placed fully in tuition_fee. | ayushcounselling.in Private BAMS Colleges Fee Structure Uttarakhand 2025-26 (https://ayushcounselling.in/bams-colleges-fee-structure-in-uttarakhand/)</t>
  </si>
  <si>
    <t>Himalayiya Ayurvedic Medical College &amp; Hospital, Post- Via Doiwala, Jeevanwala, Dehradun</t>
  </si>
  <si>
    <t>Post- Via Doiwala, Jeevanwala, Dehradun, Uttarakhand</t>
  </si>
  <si>
    <t>7500111177</t>
  </si>
  <si>
    <t>hamcayu@gmail.com</t>
  </si>
  <si>
    <t>hamc.org.in</t>
  </si>
  <si>
    <t>Hospital with OPD/IPD, WiFi, Cafeteria, Accommodation (shared/single/double rooms)</t>
  </si>
  <si>
    <t>Only a total annual figure of Rs 3,00,000 published; placed fully in tuition_fee. | ayushcounselling.in Private BAMS Colleges Fee Structure Uttarakhand 2025-26 (https://ayushcounselling.in/bams-colleges-fee-structure-in-uttarakhand/) (listed as 'Himalaya Ayurvedic Medical College &amp; Hospital')</t>
  </si>
  <si>
    <t>Motherhood Ayurvedic and Medical College, bhagwanpur, Roorkee, Haridwar.</t>
  </si>
  <si>
    <t>Bhagwanpur, Roorkee, Haridwar, Uttarakhand</t>
  </si>
  <si>
    <t>7060044186</t>
  </si>
  <si>
    <t>info@motherhoodayurveda.edu.in</t>
  </si>
  <si>
    <t>motherhoodayurveda.edu.in</t>
  </si>
  <si>
    <t>Herbal garden, Hostel (male and female)</t>
  </si>
  <si>
    <t>Only a total annual figure of Rs 2,50,000 published; placed fully in tuition_fee. | ayushcounselling.in Private BAMS Colleges Fee Structure Uttarakhand 2025-26 (https://ayushcounselling.in/bams-colleges-fee-structure-in-uttarakhand/)</t>
  </si>
  <si>
    <t>Om Ayurvedic College and Hospital, panchayanpur, daulatpur, Roorkee, Haridwar</t>
  </si>
  <si>
    <t>Panchayanpur, Daulatpur, Roorkee, Haridwar, Uttarakhand</t>
  </si>
  <si>
    <t>Herbal medicine laboratories, Fully equipped hospital, Comprehensive library</t>
  </si>
  <si>
    <t>Only a total annual figure of Rs 2,45,000 published; placed fully in tuition_fee. | ayushcounselling.in Private BAMS Colleges Fee Structure Uttarakhand 2025-26 (https://ayushcounselling.in/bams-colleges-fee-structure-in-uttarakhand/) (listed as 'Om Ayurvedic College and Research Centre')</t>
  </si>
  <si>
    <t>Patanjali Ayurvedic College and Hospital, Haridwar.</t>
  </si>
  <si>
    <t>Haridwar, Uttarakhand</t>
  </si>
  <si>
    <t>01334241050</t>
  </si>
  <si>
    <t>pacoffice@divyayoga.com</t>
  </si>
  <si>
    <t>patanjaliayurvedcollege.co.in</t>
  </si>
  <si>
    <t>Ayurved hospital (Panchakarma, Shalya, Shalakya, Stri Rog and Bala Rog departments), Herbal gardens and medicinal plant conservatories, Labs, Classrooms</t>
  </si>
  <si>
    <t>Only a total annual figure of Rs 2,87,000 published; placed fully in tuition_fee. | ayushcounselling.in Private BAMS Colleges Fee Structure Uttarakhand 2025-26 (https://ayushcounselling.in/bams-colleges-fee-structure-in-uttarakhand/) (listed as 'Patanjali Bhartiya Ayurvigyan Evam Anusandhan Sansthan')</t>
  </si>
  <si>
    <t>Quadra Institute of Ayurveda, Roorkee, Haridwar.</t>
  </si>
  <si>
    <t>9760008050</t>
  </si>
  <si>
    <t>quadracampus@rediffmail.com</t>
  </si>
  <si>
    <t>quadracampus.com</t>
  </si>
  <si>
    <t>Separate hostels for boys and girls, Health centre, Library, Sports facilities, Cafeteria, Department labs</t>
  </si>
  <si>
    <t>Only a total annual figure of Rs 2,60,000 published; placed fully in tuition_fee. | ayushcounselling.in Private BAMS Colleges Fee Structure Uttarakhand 2025-26 (https://ayushcounselling.in/bams-colleges-fee-structure-in-uttarakhand/) (listed as 'Quadra Institute Of Medical Sciences Roorkee')</t>
  </si>
  <si>
    <t>Shivalik Institute of Ayurved and Research, near Bansiwala bridge, Jhanjra, Chakrata road, Dehradun</t>
  </si>
  <si>
    <t>Near Bansiwala Bridge, Jhanjra, Chakrata Road, Dehradun, Uttarakhand</t>
  </si>
  <si>
    <t>7895022224</t>
  </si>
  <si>
    <t>ayurveda.shivalikcollege@gmail.com</t>
  </si>
  <si>
    <t>siarayurveda.com</t>
  </si>
  <si>
    <t>Hospital (OPD/IPD), Library, Herbal garden, Separate hostels for boys and girls, Sports facilities, Gym</t>
  </si>
  <si>
    <t>Only a total annual figure of Rs 2,60,000 published; placed fully in tuition_fee. | ayushcounselling.in Private BAMS Colleges Fee Structure Uttarakhand 2025-26 (https://ayushcounselling.in/bams-colleges-fee-structure-in-uttarakhand/)</t>
  </si>
  <si>
    <t>Smt. Manjera Devi Ayurved Medical and Hospital, Hitanu, Dhanari, Uttarkashi.</t>
  </si>
  <si>
    <t>Uttarkashi</t>
  </si>
  <si>
    <t>Hitanu, Dhanari, Uttarkashi, Uttarakhand</t>
  </si>
  <si>
    <t>Only a total annual figure of Rs 2,00,000 published; placed fully in tuition_fee. | ayushcounselling.in Private BAMS Colleges Fee Structure Uttarakhand 2025-26 (https://ayushcounselling.in/bams-colleges-fee-structure-in-uttarakhand/) (listed as 'Smt. Manjira Devi Group of Institutions')</t>
  </si>
  <si>
    <t>Surajmal Medical College of Ayurved and Hospital, Kiccha, Udham Singh Nagar</t>
  </si>
  <si>
    <t>Udham Singh Nagar</t>
  </si>
  <si>
    <t>Kiccha, Udham Singh Nagar, Uttarakhand</t>
  </si>
  <si>
    <t>Uttaranchal Ayurvedic College and Hospital Dehradun.</t>
  </si>
  <si>
    <t>17, Old Mussoorie Road, Kairwaan Gaon, Dehradun - 248009, Uttarakhand</t>
  </si>
  <si>
    <t>info@uacayurveda.org</t>
  </si>
  <si>
    <t>www.uacayurveda.org</t>
  </si>
  <si>
    <t>BAMS, BNYS</t>
  </si>
  <si>
    <t>Pharmacy, Library, Seminar halls, Hostel, Hospital, Computer labs, Sports facilities, Cafeteria, Laboratory</t>
  </si>
  <si>
    <t>Only a total annual figure of Rs 3,00,000 published; placed fully in tuition_fee. College is affiliated with Uttarakhand Ayurved University, Uttarakhand Sanskrit University and HNB Garhwal University. | ayushcounselling.in Private BAMS Colleges Fee Structure Uttarakhand 2025-26 (https://ayushcounselling.in/bams-colleges-fee-structure-in-uttarakhand/) (listed as 'U.A.C. Dehradun'); careers360.com college profile</t>
  </si>
  <si>
    <t>Uttaranchal Medical College of Ayurveda &amp; Research, Premnagar, Dehradun, Uttarakhand</t>
  </si>
  <si>
    <t>Premnagar, Dehradun, Uttarakhand</t>
  </si>
  <si>
    <t>0135-2770380 / +917617774518 (admission: 18008914232)</t>
  </si>
  <si>
    <t>uumedical@uumail.in</t>
  </si>
  <si>
    <t>https://umcar.in/</t>
  </si>
  <si>
    <t>Attached Ayurveda hospital (100 beds) with ICU, OT, X-Ray, 24x7 Pharmacy, Pathology Lab, Ambulance, Physiotherapy department; Herbal garden</t>
  </si>
  <si>
    <t>Management/tuition fee Rs 2,15,000 reported by rmgoe.org; separate hostel fee Rs 1,08,000 and misc/OTC Rs 1,76,000 per year also reported; another search result reported a 50-seat intake instead of 100 - used the more detailed source's figure of 100 but confidence is moderate (filled in gap-fill pass) | rmgoe.org/study-india/uttaranchal-medical-college-of-ayurveda-and-research-dehradun</t>
  </si>
  <si>
    <t>Mahaveer College of Ayurvedic Science, Sundra, Rajnandgaon</t>
  </si>
  <si>
    <t>Chhattisgarh</t>
  </si>
  <si>
    <t>Private (Minority)</t>
  </si>
  <si>
    <t>Rajnandgaon</t>
  </si>
  <si>
    <t>P.O. Sundra, Rajnandgaon, Chhattisgarh - 491441</t>
  </si>
  <si>
    <t>https://mcas.co.in/</t>
  </si>
  <si>
    <t>Hospital block, Library (7000 sq.ft), Laboratories, Hostel (separate boys/girls), Mess/canteen</t>
  </si>
  <si>
    <t>Private BAMS college (100% counselled seats), Chhattisgarh AYUSH Counselling 2025-26</t>
  </si>
  <si>
    <t>Only a single consolidated annual fee of Rs.1,28,315 is published for private BAMS colleges in Chhattisgarh; no separate tuition/development/other breakup found. | ayushcounselling.in - Private BAMS Colleges Fee Structure in Chhattisgarh (https://ayushcounselling.in/private-bams-colleges-fee-structure-in-chhattisgarh/); seat count from CG AYUSH BAMS-BHMS Seat Matrix Session 2026-27 (cgayush.admissions.nic.in)</t>
  </si>
  <si>
    <t>CG private BAMS fee is uniform across categories; SC/ST/OBC concessions apply only to domicile government-quota seats, not private college seats.</t>
  </si>
  <si>
    <t>Rajiv Lochan Ayurved Medical College and Hospital, Chandkhuri, Durg</t>
  </si>
  <si>
    <t>Durg</t>
  </si>
  <si>
    <t>Gunderdehi Road, Village Chandkhuri, P.O. Chandkhuri, Durg, Chhattisgarh</t>
  </si>
  <si>
    <t>09424252621 (College), 09425550359 (Hospital)</t>
  </si>
  <si>
    <t>info@rlamcollege.org</t>
  </si>
  <si>
    <t>https://rlamcollege.org/</t>
  </si>
  <si>
    <t>Attached 60-bed Ayurveda hospital, Pharmacy, Hostel, Central laboratory, Auditorium</t>
  </si>
  <si>
    <t>Only a single consolidated annual fee of Rs.1,28,315 is published; no separate tuition/development/other breakup found. | ayushcounselling.in - Private BAMS Colleges Fee Structure in Chhattisgarh (https://ayushcounselling.in/private-bams-colleges-fee-structure-in-chhattisgarh/); seats (38 state quota + 7 All India quota) from CG AYUSH BAMS-BHMS Seat Matrix Session 2026-27 (cgayush.admissions.nic.in)</t>
  </si>
  <si>
    <t>Bharti Ayurved Medical College and Hospital, Pulgaon Chowk, Durg</t>
  </si>
  <si>
    <t>Pulgaon Chowk, Durg, Chhattisgarh - 491001</t>
  </si>
  <si>
    <t>+91 9755581111 / 9755582222 / 9755583333</t>
  </si>
  <si>
    <t>bamchdurg@gmail.com</t>
  </si>
  <si>
    <t>https://bhartiayurveda.org/</t>
  </si>
  <si>
    <t>Attached Ayurveda hospital (IPD &amp; OPD), Pharmacy, Hostel</t>
  </si>
  <si>
    <t>Only a single consolidated annual fee of Rs.1,28,315 is published; no separate tuition/development/other breakup found. Not confirmed in the 2026-27 CG seat matrix document (only 4 of 6 CG private colleges appear there), so this college's continued participation in that specific session is unverified. | ayushcounselling.in - Private BAMS Colleges Fee Structure in Chhattisgarh (https://ayushcounselling.in/private-bams-colleges-fee-structure-in-chhattisgarh/); seat count (100, NCISM extended permission 2025-26) from careermarg.com / NCISM permitted colleges list 2025-26</t>
  </si>
  <si>
    <t>Chhattisgarh Ayurved Medical College, Manki, Rajnandgaon</t>
  </si>
  <si>
    <t>G.E. Road, Manki, Rajnandgaon, Chhattisgarh - 491441</t>
  </si>
  <si>
    <t>+91 9131702757 / 9131702701</t>
  </si>
  <si>
    <t>infocgayurvedic@gmail.com</t>
  </si>
  <si>
    <t>https://camc.co.in/</t>
  </si>
  <si>
    <t>Attached Ayurveda hospital (OPD/IPD), Pharmacy, Hostel</t>
  </si>
  <si>
    <t>Only a single consolidated annual fee of Rs.1,28,315 is published; no separate tuition/development/other breakup found. | ayushcounselling.in - Private BAMS Colleges Fee Structure in Chhattisgarh (https://ayushcounselling.in/private-bams-colleges-fee-structure-in-chhattisgarh/); seats (76 state quota + 14 All India quota) from CG AYUSH BAMS-BHMS Seat Matrix Session 2026-27 (cgayush.admissions.nic.in)</t>
  </si>
  <si>
    <t>Raigarh Medical College and Hospital of Ayurved, Raigarh</t>
  </si>
  <si>
    <t>Raigarh</t>
  </si>
  <si>
    <t>Kotarliya Village, Raigarh, Chhattisgarh - 496001</t>
  </si>
  <si>
    <t>9244121177 / 07711972000</t>
  </si>
  <si>
    <t>raigarhcollegeofayurveda@gmail.com</t>
  </si>
  <si>
    <t>https://www.rmcha.in/</t>
  </si>
  <si>
    <t>Attached Ayurveda hospital (100 beds), Panchakarma unit, 24/7 emergency, Pathology &amp; radiology, Ambulance service</t>
  </si>
  <si>
    <t>This college has its own separate fee notice on the CG AYUSH portal rather than being covered by the common private-college fee figure of Rs.1,28,315 seen for the other CG colleges; exact amount could not be confirmed. Also not listed in the 2026-27 seat matrix among the 4 private colleges, so current active seat count is unverified. | cgayush.admissions.nic.in has a separate 'Notice Regarding Raigarh Medical College and Hospital of Ayurveda Fee Structure' PDF (2024) but its contents could not be extracted (scanned/unreadable via automated fetch).</t>
  </si>
  <si>
    <t>Not determined - fee document not accessible.</t>
  </si>
  <si>
    <t>Chouksey College of Ayurved Research Center &amp; Hospital Bilaspur</t>
  </si>
  <si>
    <t>Bilaspur</t>
  </si>
  <si>
    <t>Lal Khadan, Masturi Road, NH-49, Bilaspur, Chhattisgarh - 495004</t>
  </si>
  <si>
    <t>7746099992</t>
  </si>
  <si>
    <t>shoma.choukseyayurved@gmail.com</t>
  </si>
  <si>
    <t>https://ccabilaspur.com/</t>
  </si>
  <si>
    <t>Only a single consolidated annual fee of Rs.1,28,315 is published; no separate tuition/development/other breakup found. Establishment year 2025 per college360.co.in seems recent/possibly inaccurate given older listings; treat with caution. | ayushcounselling.in - Private BAMS Colleges Fee Structure in Chhattisgarh (https://ayushcounselling.in/private-bams-colleges-fee-structure-in-chhattisgarh/); seats (85 state quota + 15 All India quota) from CG AYUSH BAMS-BHMS Seat Matrix Session 2026-27 (cgayush.admissions.nic.in)</t>
  </si>
  <si>
    <t>Guru Gorakshnath Institute of Medical Sciences, Gorakhpur</t>
  </si>
  <si>
    <t>Uttar Pradesh</t>
  </si>
  <si>
    <t>Gorakhpur</t>
  </si>
  <si>
    <t>Guru Gorakshnath Institute of Medical Sciences, Gorakhpur, Uttar Pradesh</t>
  </si>
  <si>
    <t>ggims.ayurveda@mgug.ac.in</t>
  </si>
  <si>
    <t>https://ayurveda.mgug.ac.in/</t>
  </si>
  <si>
    <t>Attached hospital, Pharmacy, Library, Hostel</t>
  </si>
  <si>
    <t>UP private BAMS fee 2025-26 (DGME/UP AYUSH counselling; 100% seats via state counselling open to all-India NEET candidates)</t>
  </si>
  <si>
    <t>College-specific address/contact details could not be confirmed within available search results (WebSearch quota exhausted during this research batch); figure is a secondary aggregator estimate, not a verified DGME fee order. | upayush.com List of Private BAMS Colleges in Uttar Pradesh (https://upayush.com/list-of-private-bams-colleges-in-uttar-pradesh/)</t>
  </si>
  <si>
    <t>UP AYUSH private BAMS seats are filled 100% through the state counselling (DGME), which is open to candidates from any state; fee is reported as uniform across categories.</t>
  </si>
  <si>
    <t>Goel Ayurvedic Medical College and Hospital, Lucknow</t>
  </si>
  <si>
    <t>Lucknow</t>
  </si>
  <si>
    <t>Goel Ayurvedic Medical College and Hospital, Lucknow, Uttar Pradesh</t>
  </si>
  <si>
    <t>+91-7307057517</t>
  </si>
  <si>
    <t>https://gamch.goel.edu.in/</t>
  </si>
  <si>
    <t>College-specific address/contact details could not be confirmed within available search results (WebSearch quota exhausted during this research batch); figure is a secondary aggregator estimate, not a verified DGME fee order. Rs 2,04,600/year recurs for a large number of UP private colleges in this source, suggesting it may be a common baseline fee across many UP private BAMS colleges. | upayush.com List of Private BAMS Colleges in Uttar Pradesh (https://upayush.com/list-of-private-bams-colleges-in-uttar-pradesh/)</t>
  </si>
  <si>
    <t>Rohilkhand Ayurvedic Medical College &amp; Hospital, Bareilly</t>
  </si>
  <si>
    <t>Bareilly</t>
  </si>
  <si>
    <t>Rohilkhand Ayurvedic Medical College &amp; Hospital, Bareilly, Uttar Pradesh</t>
  </si>
  <si>
    <t>+91 7078592443</t>
  </si>
  <si>
    <t>ramchorg@gmail.com</t>
  </si>
  <si>
    <t>https://www.ramch.in/</t>
  </si>
  <si>
    <t>Naiminath Ayurvedic Medical College, Kuberpur, Agra</t>
  </si>
  <si>
    <t>Agra</t>
  </si>
  <si>
    <t>Naiminath Ayurvedic Medical College, Kuberpur, Agra, Uttar Pradesh</t>
  </si>
  <si>
    <t>+91-9528024473</t>
  </si>
  <si>
    <t>namcagra@gmail.com</t>
  </si>
  <si>
    <t>https://www.naiminathayurveda.org/</t>
  </si>
  <si>
    <t>R.G.S Ayurvedic Medical College &amp; Research Center, Karaundi, Bakshi Ka Talab, Lucknow</t>
  </si>
  <si>
    <t>R.G.S Ayurvedic Medical College &amp; Research Center, Karaundi, Bakshi Ka Talab, Lucknow, Uttar Pradesh</t>
  </si>
  <si>
    <t>+91 95111 10295</t>
  </si>
  <si>
    <t>Rgsayumc@gmail.com</t>
  </si>
  <si>
    <t>https://www.rgsayurvedcollege.in/</t>
  </si>
  <si>
    <t>Sardar Patel Institute of Ayurvedic Medical Sciences &amp; Reseach Center Mohanlalganj, Lucknow</t>
  </si>
  <si>
    <t>Sardar Patel Institute of Ayurvedic Medical Sciences &amp; Research Center, Mohanlalganj, Lucknow, Uttar Pradesh</t>
  </si>
  <si>
    <t>+91 7235809084</t>
  </si>
  <si>
    <t>spiamsr@gmail.com</t>
  </si>
  <si>
    <t>https://spiamsr.org/</t>
  </si>
  <si>
    <t>College-specific address/contact/established year/seats could not be confirmed within available search results (WebSearch quota exhausted during this research batch); fee figure is a secondary aggregator estimate, not a verified DGME fee order. | edufever.com Uttar Pradesh Ayush College Fee Structure (https://www.edufever.com/uttar-pradesh-ayush-college-fee-structure/)</t>
  </si>
  <si>
    <t>Ishan Ayurved Medical College &amp; Research Center, Plot No.1A-1/2,knowledge Park, Greater Noida</t>
  </si>
  <si>
    <t>Greater Noida</t>
  </si>
  <si>
    <t>Plot No.1A-1/2, Knowledge Park, Greater Noida, Uttar Pradesh</t>
  </si>
  <si>
    <t>+91 9818180933</t>
  </si>
  <si>
    <t>https://www.ishanayurved.com/</t>
  </si>
  <si>
    <t>College-specific contact details could not be confirmed within available search results (WebSearch quota exhausted during this research batch); figure is a secondary aggregator estimate, not a verified DGME fee order. | upayush.com List of Private BAMS Colleges in Uttar Pradesh (https://upayush.com/list-of-private-bams-colleges-in-uttar-pradesh/)</t>
  </si>
  <si>
    <t>Shri Krishna Ayurvedic Medical College &amp; Hospital Cholapur Varanasi</t>
  </si>
  <si>
    <t>Varanasi</t>
  </si>
  <si>
    <t>Shri Krishna Ayurvedic Medical College &amp; Hospital, Cholapur, Varanasi, Uttar Pradesh</t>
  </si>
  <si>
    <t>0542-2585309</t>
  </si>
  <si>
    <t>shrikrishnaamc@gmail.com</t>
  </si>
  <si>
    <t>http://shrikrishnaayurvedichospital.com/</t>
  </si>
  <si>
    <t>College-specific address/contact details could not be confirmed within available search results (WebSearch quota exhausted during this research batch); figure is a secondary aggregator estimate, not a verified DGME fee order. A separate aggregator (upayush.com) listed this fee as 'N/A' for a college with the same name, so treat with some caution. | edufever.com Uttar Pradesh Ayush College Fee Structure (https://www.edufever.com/uttar-pradesh-ayush-college-fee-structure/)</t>
  </si>
  <si>
    <t>Babu Yugraj Singh Ayurvedic Medical College &amp; Hospital Baghamau, Gomati Nagar Ext- Lucknow</t>
  </si>
  <si>
    <t>Babu Yugraj Singh Ayurvedic Medical College &amp; Hospital, Baghamau, Gomati Nagar Extension, Lucknow, Uttar Pradesh</t>
  </si>
  <si>
    <t>+91-8303700427</t>
  </si>
  <si>
    <t>babuyugrajsinghayurveda@gmail.com</t>
  </si>
  <si>
    <t>https://www.bysayurvedic.com/</t>
  </si>
  <si>
    <t>Rama Ayurvedic Medical College &amp; Hospital, Mandhana, Kanpur</t>
  </si>
  <si>
    <t>Kanpur</t>
  </si>
  <si>
    <t>Rama Ayurvedic Medical College &amp; Hospital, Mandhana, Kanpur, Uttar Pradesh</t>
  </si>
  <si>
    <t>+91-8052302666</t>
  </si>
  <si>
    <t>principal.ramch@ramauniversity.ac.in</t>
  </si>
  <si>
    <t>https://ramaayurveda.com/</t>
  </si>
  <si>
    <t>G.S Ayurvedic Medical College &amp; Hospital, Hapur</t>
  </si>
  <si>
    <t>Hapur</t>
  </si>
  <si>
    <t>G.S Ayurvedic Medical College &amp; Hospital, Hapur, Uttar Pradesh</t>
  </si>
  <si>
    <t>https://gsayurvedamedicalcollege.com/</t>
  </si>
  <si>
    <t>College-specific address/contact details could not be confirmed within available search results (WebSearch quota exhausted during this research batch); figure is a secondary aggregator estimate, not a verified DGME fee order. | upayush.com List of Private BAMS Colleges in Uttar Pradesh (https://upayush.com/list-of-private-bams-colleges-in-uttar-pradesh/), listed as 'GS Ayurveda Medical College, Hapur (Meerut)'</t>
  </si>
  <si>
    <t>Shree Ram Ayurvedic Medical College &amp; Hospital, Dungrawali, Meerut</t>
  </si>
  <si>
    <t>Meerut</t>
  </si>
  <si>
    <t>Shree Ram Ayurvedic Medical College &amp; Hospital, Dungrawali, Meerut, Uttar Pradesh</t>
  </si>
  <si>
    <t>+91 95369 01231</t>
  </si>
  <si>
    <t>info@srahospital.com</t>
  </si>
  <si>
    <t>https://srahospital.com</t>
  </si>
  <si>
    <t>College-specific address/contact details could not be confirmed within available search results (WebSearch quota exhausted during this research batch); figure is a secondary aggregator estimate, not a verified DGME fee order. | upayush.com List of Private BAMS Colleges in Uttar Pradesh (https://upayush.com/list-of-private-bams-colleges-in-uttar-pradesh/), listed as 'Sri Ram Ayurvedic College, Meerut'</t>
  </si>
  <si>
    <t>Divya Jyoti Ayurvedic Medical College &amp; Hospital, Niwari Road, Modinagar, Ghaziabad</t>
  </si>
  <si>
    <t>Modinagar, Ghaziabad</t>
  </si>
  <si>
    <t>Niwari Road, Modinagar, Ghaziabad, Uttar Pradesh</t>
  </si>
  <si>
    <t>+91 93685 64763</t>
  </si>
  <si>
    <t>djayurmedical@gmail.com</t>
  </si>
  <si>
    <t>https://djayurvedacollege.org</t>
  </si>
  <si>
    <t>Jeevan Jyoti Ayurvedic Medical College and Hospital, Lodha, Aligarh</t>
  </si>
  <si>
    <t>Aligarh</t>
  </si>
  <si>
    <t>Jeevan Jyoti Ayurvedic Medical College and Hospital, Lodha, Aligarh, Uttar Pradesh</t>
  </si>
  <si>
    <t>+91 99277 42600</t>
  </si>
  <si>
    <t>jjpmcollege@gmail.com</t>
  </si>
  <si>
    <t>https://www.ayurvedicmedicalcollege.com/</t>
  </si>
  <si>
    <t>Prem Raghu Ayurvedic Medical College &amp; Hospital, Agra Road, Hathras</t>
  </si>
  <si>
    <t>Hathras</t>
  </si>
  <si>
    <t>Agra Road, near M.G. Polytechnic College, Hathras, Uttar Pradesh - 204101</t>
  </si>
  <si>
    <t>+91 9044212323</t>
  </si>
  <si>
    <t>2016ayu0378@gmail.com</t>
  </si>
  <si>
    <t>premraghuayurvedicmedicalcollege.com</t>
  </si>
  <si>
    <t>60-bed Ayurveda hospital wing, 100-bed Modern Medicine Hospital, 8 OPD units, IPD facilities, Laboratory, X-Ray, USG, ECG, Pathology, Operating theatres, Labour room, Panchakarma units, Ambulance, Campus health centre</t>
  </si>
  <si>
    <t>Private management/open (non-domicile) quota, UP AYUSH counselling 2025-26</t>
  </si>
  <si>
    <t>Single fee published for the college; not broken into tuition/development/other components, so full amount placed in tuition_fee. | upayush.com - List of Private BAMS Colleges in Uttar Pradesh (aggregates UP AYUSH Fee Regulatory Committee rates) https://upayush.com/list-of-private-bams-colleges-in-uttar-pradesh/</t>
  </si>
  <si>
    <t>UP AYUSH fee regulatory committee fixes one uniform fee per private college for management/open seats; no caste-based differential applies to non-domicile/open seats. Not independently verified for this specific college.</t>
  </si>
  <si>
    <t>Iimt Ayurvedic Medical College &amp; Hospital, Meerut</t>
  </si>
  <si>
    <t>'O' Pocket, Ganga Nagar, Mawana Road, Meerut, Uttar Pradesh - 250001</t>
  </si>
  <si>
    <t>0121-2793610, 0121-2793611, 7302792990</t>
  </si>
  <si>
    <t>iimtayurveda@iimtindia.net</t>
  </si>
  <si>
    <t>https://iimtayurvediccollege.ac.in</t>
  </si>
  <si>
    <t>Attached Ayurveda hospital, part of IIMT University campus</t>
  </si>
  <si>
    <t>Single fee published for the college; full amount placed in tuition_fee. | upayush.com - List of Private BAMS Colleges in Uttar Pradesh https://upayush.com/list-of-private-bams-colleges-in-uttar-pradesh/; contact details from https://iimtayurvediccollege.ac.in/contact.php</t>
  </si>
  <si>
    <t>Ankerite Ayurvedic Medical College, Parwar Purab,mohanlalganj, Lucknow</t>
  </si>
  <si>
    <t>Village Sauseer Khera, Parwar Purab, Post Mohanlalganj, Lucknow, Uttar Pradesh - 226301</t>
  </si>
  <si>
    <t>+91 8787265443, +91 9721244400</t>
  </si>
  <si>
    <t>ankerite2006@gmail.com</t>
  </si>
  <si>
    <t>https://medicalcollege.ankeritegroup.com</t>
  </si>
  <si>
    <t>100-bed hospital, Central library, Computer lab, Herbal garden, Labs, Hostel (separate boys/girls), Canteen, Sports facilities, Auditorium, Gym, Medical/health centre, Wi-Fi, Transportation</t>
  </si>
  <si>
    <t>Single fee published for the college; full amount placed in tuition_fee. | upayush.com - List of Private BAMS Colleges in Uttar Pradesh https://upayush.com/list-of-private-bams-colleges-in-uttar-pradesh/; contact from https://medicalcollege.ankeritegroup.com/contact-us/</t>
  </si>
  <si>
    <t>Bapu Ayurvedic Medical Colleg&amp; Hospital, Ladanpur Kopaganj Mau</t>
  </si>
  <si>
    <t>Mau</t>
  </si>
  <si>
    <t>Ladanpur, Kopaganj, Mau, Uttar Pradesh - 275101</t>
  </si>
  <si>
    <t>+91 9792000299</t>
  </si>
  <si>
    <t>BamchAdmissionCell@gmail.com</t>
  </si>
  <si>
    <t>https://bamch.org.in</t>
  </si>
  <si>
    <t>Attached Ayurveda hospital (24x7 IPD, 8 OPD specialties)</t>
  </si>
  <si>
    <t>Single fee published for the college; full amount placed in tuition_fee. Aggregator lists district as Ghazipur/Mau interchangeably; college is in Mau district. | upayush.com - List of Private BAMS Colleges in Uttar Pradesh https://upayush.com/list-of-private-bams-colleges-in-uttar-pradesh/; contact from https://bamch.org.in/contact/</t>
  </si>
  <si>
    <t>Major S. D. Singh Ayurvedic Medical College &amp; Hospital, Farrukhabad</t>
  </si>
  <si>
    <t>Farrukhabad</t>
  </si>
  <si>
    <t>Bewar Road, Fatehgarh, Farrukhabad, Uttar Pradesh - 209601</t>
  </si>
  <si>
    <t>+91 9839553056, +91 9554964680</t>
  </si>
  <si>
    <t>majorsdsinghayd@gmail.com</t>
  </si>
  <si>
    <t>https://majorsdspgamc.com</t>
  </si>
  <si>
    <t>Attached Ayurvedic hospital, Hostel, Library, Labs, Herbal garden, Pharmacy, Gym, Sports</t>
  </si>
  <si>
    <t>Single fee published for the college; full amount placed in tuition_fee. | upayush.com - List of Private BAMS Colleges in Uttar Pradesh https://upayush.com/list-of-private-bams-colleges-in-uttar-pradesh/</t>
  </si>
  <si>
    <t>Gangasheel Ayurvedic Medical College, Bareilly</t>
  </si>
  <si>
    <t>Kamua, Bisalpur Road, Bareilly, Uttar Pradesh</t>
  </si>
  <si>
    <t>+91 75003 33360</t>
  </si>
  <si>
    <t>gangasheel.ayurveda@gmail.com</t>
  </si>
  <si>
    <t>http://www.gangasheelayurvedacollege.org</t>
  </si>
  <si>
    <t>Attached Ayurveda hospital</t>
  </si>
  <si>
    <t>Sarv Dev Ayurvedic Medical and Mahamrityunjay Hospital, Itora Chandeshwar, Azamgarh</t>
  </si>
  <si>
    <t>Azamgarh</t>
  </si>
  <si>
    <t>Ghazipur-Azamgarh Road, Itaura, Chandeshwar, Azamgarh, Uttar Pradesh - 276128</t>
  </si>
  <si>
    <t>05462-296138, +91 9415257492, +91 9792577779</t>
  </si>
  <si>
    <t>sdayurvedamh@gmail.com</t>
  </si>
  <si>
    <t>https://sarvdevayurveda.in</t>
  </si>
  <si>
    <t>Attached Maha Mrityunjay Ayurveda hospital</t>
  </si>
  <si>
    <t>Not matched to a specific row in the state fee list; UP private BAMS fees generally range Rs 2.0-3.0 lakh/year per upayush.com aggregator.</t>
  </si>
  <si>
    <t>Sri Ram Chandra Vaidya Ayurvedic Medical College &amp; Hospital, Lucknow</t>
  </si>
  <si>
    <t>Malhaur Railway Station Road, Ashraf Vihar Colony, Chinhat, Gomti Nagar, Lucknow, Uttar Pradesh - 226028</t>
  </si>
  <si>
    <t>+91 7607421530, +91-7839452833, +91-9452423715</t>
  </si>
  <si>
    <t>info@srvamch.co.in, srvamch@gmail.com</t>
  </si>
  <si>
    <t>https://srvamch.co.in</t>
  </si>
  <si>
    <t>Hospital (OPD, IPD, OT, Panchkarma unit, diagnostics/pathology lab, pharmacy, ambulance, blood centre), Library, Digital Library, Smart classrooms, Department museums, Clinical skill lab, Physiotherapy unit, Herbal garden, Teaching pharmacy, Cafeteria</t>
  </si>
  <si>
    <t>Institute of Ayush Medical Sciences, Vimalarjun Nagar, Mohanlalganj, Lucknow</t>
  </si>
  <si>
    <t>Vimalarjun Nagar, Bhagu Kheda, Mohanlalganj, Lucknow, Uttar Pradesh - 226301</t>
  </si>
  <si>
    <t>+91 6393664635</t>
  </si>
  <si>
    <t>iamsayucollege@gmail.com</t>
  </si>
  <si>
    <t>iamscollege.co.in</t>
  </si>
  <si>
    <t>Hospital (OT, X-Ray, USG, Pathology, ICU, wards, Pharmacy, Ambulance, Panchakarma), Labs, Library, Canteen, AC classrooms, Teaching Pharmacy, Herbal garden</t>
  </si>
  <si>
    <t>Vivek College of Ayurvedic Sciences &amp; Hospital, Moradabad Road Bijnor</t>
  </si>
  <si>
    <t>Bijnor</t>
  </si>
  <si>
    <t>Moradabad Road, Post Agri, District Bijnor, Uttar Pradesh - 246701</t>
  </si>
  <si>
    <t>+91 9837324210</t>
  </si>
  <si>
    <t>ayurveda@vivekcollege.ac.in</t>
  </si>
  <si>
    <t>www.vivekcollege.com</t>
  </si>
  <si>
    <t>Attached 100-bed Ayurveda hospital</t>
  </si>
  <si>
    <t>Rajshree Ayurvedic Medical College &amp; Hospital Nh 30, Vill- Labhera Urf Buland Nagar,nawabganj,bareilly</t>
  </si>
  <si>
    <t>16 KM, NH-30, Pilibhit Road, Vill. Labhera urf Buland Nagar, Nawabganj, Bareilly, Uttar Pradesh - 243122</t>
  </si>
  <si>
    <t>+91 9690000100, +91 9690000102, +91 9690000103, +91 8192000288</t>
  </si>
  <si>
    <t>rajshree.institute@gmail.com</t>
  </si>
  <si>
    <t>rajshree.ac.in</t>
  </si>
  <si>
    <t>Attached Ayurveda hospital, part of Rajshree Group of Institutions / Bareilly International University campus</t>
  </si>
  <si>
    <t>Dhanvantari Ayurvedic Medical College and Hospital, Meerganj Bareilly</t>
  </si>
  <si>
    <t>Fatehganj-West, Rehpura-Meerapur Road, Bareilly, Uttar Pradesh - 243501</t>
  </si>
  <si>
    <t>+91 9410405769</t>
  </si>
  <si>
    <t>damcbly@gmail.com</t>
  </si>
  <si>
    <t>damcbareilly.in</t>
  </si>
  <si>
    <t>Teaching Pharmacy, Quality Testing Laboratory, Multipurpose Hall, Canteen, Herbal Garden, Computer Lab, Hospital (60-bed, OPD &amp; IPD), Physiotherapy Unit, Clinical Laboratory, ECG Unit, Sonography (USG), Radiology/X-Ray, Operation Theatre, Labour Room, Medical Store</t>
  </si>
  <si>
    <t>Annual tuition fee 2025-26 reported as Rs 2,52,200/year; site notes fee may vary/subject to change; hostel ~Rs 5,000/month extra (filled in gap-fill pass) | https://ayushcounselling.in/dhanvantari-ayurvedic-medical-college-bareilly/</t>
  </si>
  <si>
    <t>No caste-category fee difference found for private management/open seats; state SC/ST concessions apply only to domicile government-quota seats.</t>
  </si>
  <si>
    <t>Charak Ayurvedic Medical College Hospital&amp; Research Center, Panchi, Meerut</t>
  </si>
  <si>
    <t>Village Panchi, Hapur-Meerut Road, Meerut, Uttar Pradesh - 245206</t>
  </si>
  <si>
    <t>+91 7409104104</t>
  </si>
  <si>
    <t>shribalajieducationaltrust@gmail.com</t>
  </si>
  <si>
    <t>charakayurvediccollege.com</t>
  </si>
  <si>
    <t>100-bed hospital, Advanced laboratories, Herbal garden, Library (5,000+ books), Auditorium, Canteen</t>
  </si>
  <si>
    <t>Javitri Institute of Ayurveda Medical Sciences, Mohanlalganj, Lucknow</t>
  </si>
  <si>
    <t>Kankaha, Raebareli Road, Mohanlalganj, Lucknow, Uttar Pradesh - 226301</t>
  </si>
  <si>
    <t>+91 7651905560</t>
  </si>
  <si>
    <t>tiwariharsh311@gmail.com</t>
  </si>
  <si>
    <t>jiams.co.in</t>
  </si>
  <si>
    <t>Operation Theatre, Labs &amp; department museums, Pathology, Teaching Pharmacy, Hospital, 14 clinical departments</t>
  </si>
  <si>
    <t>Single fee published for the college; full amount placed in tuition_fee. | IndiaMart listing quoting Javitri Institute BAMS fee https://www.indiamart.com/proddetail/javitri-institute-of-ayurvedic-medical-sciences-hospital-lucknow-2853898724133.html ; also matches upayush.com aggregator baseline fee for newer UP private colleges</t>
  </si>
  <si>
    <t>Kalavati Ayurvedic Medical College, Research Center &amp; Hospital, Kasganj</t>
  </si>
  <si>
    <t>Kasganj</t>
  </si>
  <si>
    <t>Gorha, Near Gorha Pull, Kashi Ramnagar, Kasganj, Uttar Pradesh - 207123</t>
  </si>
  <si>
    <t>8340255460</t>
  </si>
  <si>
    <t>kamcrcksj@gmail.com</t>
  </si>
  <si>
    <t>www.kamcrc.com</t>
  </si>
  <si>
    <t>Hospital (OPD/IPD), Herbal garden (200+ plants), Library (2,500+ books), Smart classrooms, Labs, Hostel, Wi-Fi, Sports</t>
  </si>
  <si>
    <t>S.K.S. Ayurvedic Medical College &amp; Hospital, Chhata, Mathura</t>
  </si>
  <si>
    <t>Mathura</t>
  </si>
  <si>
    <t>21st Km, NH-2, Village Chaumuhan, Tehsil Chhata, Mathura, Uttar Pradesh - 281406</t>
  </si>
  <si>
    <t>9434788960</t>
  </si>
  <si>
    <t>www.sksayurvedic.com</t>
  </si>
  <si>
    <t>Hospital (OPD &amp; IPD), Herbal Garden, Canteen, College Block, Separate Hostel for Boys &amp; Girls</t>
  </si>
  <si>
    <t>Shri Babu Singh Jay Singh Ayurvedic Medical College, Bhaupur, Fatehgarh, Farrukhabad</t>
  </si>
  <si>
    <t>Bhaupur, Bewar Road, Fatehgarh, Farrukhabad, Uttar Pradesh - 209602</t>
  </si>
  <si>
    <t>+91-6394144573, +91-9119923282, +91-9839012371, +91-9554964670, +91-9125898644</t>
  </si>
  <si>
    <t>bamsadmissioncell.sbsjsamc2015@gmail.com, sbsjsayu14@gmail.com</t>
  </si>
  <si>
    <t>sbsjsmc.com</t>
  </si>
  <si>
    <t>Hospital (OPD, IPD, OT), Museum with anatomical specimens, 24/7 emergency services, Hostel</t>
  </si>
  <si>
    <t>Could not confidently match this college to a specific row in the state fee aggregator (similarly-named entries found for other cities); UP private BAMS fees generally range Rs 2.0-3.0 lakh/year.</t>
  </si>
  <si>
    <t>Shree Dhanvantari Ayurvedic Medical College &amp; Research Center, Chhata, Mathura</t>
  </si>
  <si>
    <t>27 KM Milestone, Mathura-Delhi Highway, Chhata, Mathura, Uttar Pradesh</t>
  </si>
  <si>
    <t>+91 9311110180, +91 8273092874, +91 8171015323, +91 8171015324, +91 8171015325</t>
  </si>
  <si>
    <t>sdamcrc@yahoo.com, info@shridhanwantrigroup.com</t>
  </si>
  <si>
    <t>shridhanwantrigroup.com</t>
  </si>
  <si>
    <t>Hospital (OPD/IPD), Laboratories, Library, Herbal garden, Canteen</t>
  </si>
  <si>
    <t>Reported annual BAMS fee ~Rs 2,04,000/year (filled in gap-fill pass) | WebSearch aggregated (edufever.com, ayushcounselling.in)</t>
  </si>
  <si>
    <t>S.A.S Ayurvedic Medical College &amp; Hospital, Harhua Varansi</t>
  </si>
  <si>
    <t>Rameshwar Road, Harhua, Varanasi, Uttar Pradesh - 221105</t>
  </si>
  <si>
    <t>8765624982, 9415255771, 9657777459</t>
  </si>
  <si>
    <t>https://sasayurveda.com</t>
  </si>
  <si>
    <t>Hospital (OPD, IPD, Panchakarma, Ksharsutra, OT, Pathology, X-ray, USG), Library</t>
  </si>
  <si>
    <t>Reported BAMS fee ~Rs 2,50,000/year (filled in gap-fill pass) | https://www.indiamart.com/proddetail/bams-admission-at-sas-ayurvedic-medical-college-harhua-varanasi-up-6869495533.html</t>
  </si>
  <si>
    <t>Sanskriti Ayurvedic Medical College &amp; Hospital, Chhata, Mathura</t>
  </si>
  <si>
    <t>28 KM Stone, Mathura-Delhi Highway, Chhata, Mathura, Uttar Pradesh - 281401</t>
  </si>
  <si>
    <t>www.sanskriti.edu.in</t>
  </si>
  <si>
    <t>Attached Ayurveda hospital, part of Sanskriti University campus</t>
  </si>
  <si>
    <t>Chandra Shekhar Singh Ayurvedic Sansthan, Koilaha, Kaushambi</t>
  </si>
  <si>
    <t>Kaushambi</t>
  </si>
  <si>
    <t>Saiyad Sarawa, near Puramufti, Koilaha, Kaushambi, Uttar Pradesh - 212213</t>
  </si>
  <si>
    <t>(+91) 7524037425, 7388810063, 9956514123</t>
  </si>
  <si>
    <t>2015ayu0458@gmail.com, cssas.allahabad@gmail.com</t>
  </si>
  <si>
    <t>www.cssas.org</t>
  </si>
  <si>
    <t>Hospital (60-bed), Pharmacy (NCISM-standard), Hostel (boys &amp; girls, mess), Canteen, Sports grounds</t>
  </si>
  <si>
    <t>Prabuddh Ayurvedic Medical College, Hospital &amp; Research Centre, Bakkakhera, Mall, Lucknow</t>
  </si>
  <si>
    <t>Bakka Khera, Mall, Malihabad, Lucknow, Uttar Pradesh</t>
  </si>
  <si>
    <t>9936247930</t>
  </si>
  <si>
    <t>prabuddhamchrc@gmail.com</t>
  </si>
  <si>
    <t>pamchrc.com</t>
  </si>
  <si>
    <t>Attached 60-bed Ayurveda hospital with emergency and separate male/female Panchakarma units</t>
  </si>
  <si>
    <t>Single fee published for the college; full amount placed in tuition_fee. | IndiaMart listing (Prabuddh Ayurvedic Medical College BAMS fee) https://www.indiamart.com/proddetail/prabuddh-ayurvedic-medical-college-hospital-research-center-lucknow-up-2854628535191.html ; cross-checked with upayush.com aggregator</t>
  </si>
  <si>
    <t>S.R.S. Ayurvedic Medical College &amp; Hospital, Agra</t>
  </si>
  <si>
    <t>877 Sikandarpur, Gwalior Road, NH-3 (Agra-Mumbai Highway), Agra, Uttar Pradesh</t>
  </si>
  <si>
    <t>+91 9412254358, +91 8433453348, +91 9548910483</t>
  </si>
  <si>
    <t>srsamc.com</t>
  </si>
  <si>
    <t>Library, Laboratories, Smart classrooms, Canteen, Separate hostels for boys/girls, Herbal garden (250+ plants), Gym, Cricket ground, Auditorium</t>
  </si>
  <si>
    <t>Bharat Ayurvedic Medical College, Hospital &amp; Research Centre, Barla, Muzaffarnagar</t>
  </si>
  <si>
    <t>Muzaffarnagar</t>
  </si>
  <si>
    <t>10 KM, Roorkee Road, NH-58, P.O. Barla, Muzaffarnagar, Uttar Pradesh - 251001</t>
  </si>
  <si>
    <t>+91 9084681367, +91 9084681347</t>
  </si>
  <si>
    <t>bamcmzn@rediffmail.com</t>
  </si>
  <si>
    <t>bamcerp.com</t>
  </si>
  <si>
    <t>Hospital (100-bed, 7 OPDs, X-ray, ECG, pathology, OT), Greenhouse with 256+ medicinal plant species</t>
  </si>
  <si>
    <t>Scpm Ayurvedic Medical College &amp; Hospital,haripur, Gonda</t>
  </si>
  <si>
    <t>Gonda</t>
  </si>
  <si>
    <t>Lucknow Road, Haripur, Gonda, Uttar Pradesh - 271003</t>
  </si>
  <si>
    <t>+91 9839673554</t>
  </si>
  <si>
    <t>scpmcollege@gmail.com</t>
  </si>
  <si>
    <t>http://www.scpmgroup.org</t>
  </si>
  <si>
    <t>Institute of Ayurveda Major S D Singh University, Bhojpur, Kanpur Road Fatehgarh Farrukhabad</t>
  </si>
  <si>
    <t>Kanpur Road, Krishna Nagar Baghar, Fatehgarh, Farrukhabad, Uttar Pradesh - 209749</t>
  </si>
  <si>
    <t>+91 6306373734, +91 8318422171, +91 7064666666</t>
  </si>
  <si>
    <t>sbsdaddujiaydcollege@gmail.com</t>
  </si>
  <si>
    <t>www.majorsdsu.com</t>
  </si>
  <si>
    <t>Attached Ayurveda hospital, part of Major S D Singh University campus</t>
  </si>
  <si>
    <t>Reported annual BAMS tuition fee ~Rs 2.59 Lakh/year; hostel fee separately ~Rs 1 Lakh/year (filled in gap-fill pass) | WebSearch aggregated (shiksha.com, majorsdsu.com)</t>
  </si>
  <si>
    <t>Future Institute of Ayurvedic Medical Sciences, Faridpur Bareilly</t>
  </si>
  <si>
    <t>Bareilly-Lucknow Road, near Faridpur, Bareilly, Uttar Pradesh - 207123</t>
  </si>
  <si>
    <t>9917480040, 8475010040</t>
  </si>
  <si>
    <t>info@futureinstitutions.org</t>
  </si>
  <si>
    <t>futureiams.org</t>
  </si>
  <si>
    <t>A.N.A Ayurvedic Medical College and Hospital, Meerganj, Bareilly</t>
  </si>
  <si>
    <t>Village Kurtara, Tehsil Meerganj, near Agra Road, Bareilly, Uttar Pradesh - 243501</t>
  </si>
  <si>
    <t>+91-8937002800, +91-8937002842</t>
  </si>
  <si>
    <t>info@anacollege.org</t>
  </si>
  <si>
    <t>anacollege.org</t>
  </si>
  <si>
    <t>Hostel (boys &amp; girls), Library, Computer Centre, ANA Hospital, Practical Labs, Transport, Sports, Cafeteria, Smart classrooms, Auditorium</t>
  </si>
  <si>
    <t>Single fee published for the college; full amount placed in tuition_fee. | IndiaMart listing (ANA Ayurvedic Medical College BAMS fee) https://www.indiamart.com/proddetail/ana-ayurvedic-medical-college-hospital-bareilly-2854477086697.html ; cross-checked with upayush.com aggregator</t>
  </si>
  <si>
    <t>R.K. Institute of Ayurvedic Medical Sciences,dewraniya, Faridpur, Bareilly</t>
  </si>
  <si>
    <t>Dewrania, Faridpur-Bukhara Road, Bareilly, Uttar Pradesh - 243004</t>
  </si>
  <si>
    <t>+91 6395538811, +91 9711488078</t>
  </si>
  <si>
    <t>rkayurvediccollege@gmail.com</t>
  </si>
  <si>
    <t>rkiams.com</t>
  </si>
  <si>
    <t>Modern classrooms, Labs (anatomy, physiology, pharmacology), Library, Herbal garden, Hostel (boys &amp; girls, mess, Wi-Fi)</t>
  </si>
  <si>
    <t>Reported BAMS annual fee ~Rs 2,04,600/year (filled in gap-fill pass) | https://www.indiamart.com/proddetail/rk-institute-of-ayurvedic-medical-sciences-bareilly-2854684110162.html</t>
  </si>
  <si>
    <t>Apex Institute of Ayurvedic Medicine &amp; Hospital Chunar Mirjapur</t>
  </si>
  <si>
    <t>Mirzapur</t>
  </si>
  <si>
    <t>NH-7, Mirzapur-Varanasi Road, Samaspur, Chunar, Mirzapur, Uttar Pradesh</t>
  </si>
  <si>
    <t>9289495501, 9893926205, 8604739297, 9628214214</t>
  </si>
  <si>
    <t>www.apexims.in</t>
  </si>
  <si>
    <t>Hospital, Pharmacy</t>
  </si>
  <si>
    <t>Reported BAMS annual fee ~Rs 2,30,600/year (filled in gap-fill pass) | WebSearch aggregated (bams-admissions.com, ayushcounselling.in)</t>
  </si>
  <si>
    <t>Jeevak Ayurved Medical College &amp; Hospital, Research Centre, Kamalpur, Akauni, Chandauli</t>
  </si>
  <si>
    <t>Chandauli</t>
  </si>
  <si>
    <t>Plot No. 70/1, Mauja Kamlapur, Pargana Ralhupur, Akauni, Chandauli, Uttar Pradesh</t>
  </si>
  <si>
    <t>0542-2283134, +91-9453220180, 8604551876</t>
  </si>
  <si>
    <t>jeevakhospital125@gmail.com</t>
  </si>
  <si>
    <t>jeevakaycollege.com</t>
  </si>
  <si>
    <t>Attached Ayurveda hospital (24-hour emergency, OPD)</t>
  </si>
  <si>
    <t>Shivalik Ayurvedic Medical College, Azamgarh</t>
  </si>
  <si>
    <t>Bijarwa, Post Bankat, SH 66, Azamgarh, Uttar Pradesh - 276125</t>
  </si>
  <si>
    <t>+91 5462221196, +91 8850404576, +91 9415207522</t>
  </si>
  <si>
    <t>shivalikayurvediccollege@gmail.com</t>
  </si>
  <si>
    <t>www.samcollegeazm.com</t>
  </si>
  <si>
    <t>Library, Laboratories, Wi-Fi campus, Gymnasium, Indoor/outdoor sports, Auditorium, Health centre, Hostel (boys &amp; girls)</t>
  </si>
  <si>
    <t>Arnav Ayurvedic Medical College &amp; C.N.S. Ayurvedic Chikitsalaya, Barabanki</t>
  </si>
  <si>
    <t>Barabanki</t>
  </si>
  <si>
    <t>Barabanki, Uttar Pradesh</t>
  </si>
  <si>
    <t>+91-8303772005, +91-8935003288, +91-8881115205</t>
  </si>
  <si>
    <t>dr.pratibhasachan@gmail.com, arnavadmissioncellbbk@gmail.com</t>
  </si>
  <si>
    <t>https://www.arnavayurvedicmedicalcollege.com</t>
  </si>
  <si>
    <t>Attached C.N.S. Ayurvedic Chikitsalaya</t>
  </si>
  <si>
    <t>Single fee published for the college; full amount placed in tuition_fee. Full street address not found; WebSearch budget was exhausted before it could be located. | upayush.com - List of Private BAMS Colleges in Uttar Pradesh https://upayush.com/list-of-private-bams-colleges-in-uttar-pradesh/</t>
  </si>
  <si>
    <t>S.K. Mishra Anita Ayurvedic Medical College Vill-tajpur Garha, Lalgang, Azamgarh</t>
  </si>
  <si>
    <t>Tajpur Garha, Lalganj, Azamgarh, Uttar Pradesh</t>
  </si>
  <si>
    <t>8090808852, 8090097717, 7268861111, 9936846391</t>
  </si>
  <si>
    <t>skmanita2020@gmail.com</t>
  </si>
  <si>
    <t>http://www.skmamc.org</t>
  </si>
  <si>
    <t>60-bedded Hospital, Classrooms, Departmental labs, Museum, Library, Herbal garden (269+ plant species), Wi-Fi, Gymnasium, Indoor/outdoor sports, Mess &amp; canteen, Separate boys' and girls' hostels</t>
  </si>
  <si>
    <t>Single fee published for the college; full amount placed in tuition_fee. Detailed contact info not found; WebSearch budget was exhausted before it could be located. | upayush.com - List of Private BAMS Colleges in Uttar Pradesh https://upayush.com/list-of-private-bams-colleges-in-uttar-pradesh/</t>
  </si>
  <si>
    <t>Sham E-ghausia Minority Ayurvedic Medical College and Hospital, Saheri,nanadaganj ,Gazipur</t>
  </si>
  <si>
    <t>Ghazipur</t>
  </si>
  <si>
    <t>Saheri, Nandganj, Ghazipur, Uttar Pradesh</t>
  </si>
  <si>
    <t>+91 9415388196, 9450569091, 9918900218</t>
  </si>
  <si>
    <t>sgmpgaumc@gmail.com, sgmaumc@rediffmail.com, sgmaumc@rediffmail.com</t>
  </si>
  <si>
    <t>http://sgmpgamc.org</t>
  </si>
  <si>
    <t>Canteen, Library, Labs (Anatomy, Physiology), Hostel, Herbal Garden, Attached Ayurvedic &amp; Unani hospital</t>
  </si>
  <si>
    <t>Annual BAMS tuition fee reported as Rs 1,98,000/year; may vary, contact college to confirm (filled in gap-fill pass) | https://ayushcounselling.in/sham-e-ghausia-minority-post-graduate-ayurvedic-medical-college-hospital/</t>
  </si>
  <si>
    <t>College is listed as a Minority institution; minority quota rules may differ but were not verified.</t>
  </si>
  <si>
    <t>Shree Santanpal Singh Ayurvedic Medical College and Hospital, Mirzapur, Shahjahanpur</t>
  </si>
  <si>
    <t>Shahjahanpur</t>
  </si>
  <si>
    <t>Mirzapur, Shahjahanpur, Uttar Pradesh</t>
  </si>
  <si>
    <t>+91 9473644444, +91 9044272909, 8840538368</t>
  </si>
  <si>
    <t>santanlpalsingh@gmail.com, 2022ayu0638@gmail.com</t>
  </si>
  <si>
    <t>https://sssamc.in</t>
  </si>
  <si>
    <t>Library, Boys and Girls Hostels, Mess facilities, Transport services, Hospital (OPD, IPD, X-ray, ECG, USG, Pathology, OT, Panchkarma unit)</t>
  </si>
  <si>
    <t>Reported BAMS annual fee ~Rs 2,04,600/year; hostel &amp; other charges ~Rs 90,000/year additional (filled in gap-fill pass) | https://www.indiamart.com/proddetail/shri-santan-pal-singh-ayurvedic-medical-college-shahjahanpur-uttar-pradesh-bams-admissions-2852940262762.html</t>
  </si>
  <si>
    <t>Kunwar Shekhar Vijendra Ayurved Medical College &amp; Research Center, Saharanpur</t>
  </si>
  <si>
    <t>Saharanpur</t>
  </si>
  <si>
    <t>Saharanpur, Uttar Pradesh</t>
  </si>
  <si>
    <t>+91-7830810052</t>
  </si>
  <si>
    <t>mail@shobhituniversity.ac.in</t>
  </si>
  <si>
    <t>https://sug.ac.in/school-of-ayurveda/</t>
  </si>
  <si>
    <t>Library, Auditorium, Hostel, Cafeteria, Laboratory, Hospital/Medical Facility</t>
  </si>
  <si>
    <t>Annual tuition fee Rs 2,52,100; plus University Charges Rs 25,000/yr and Student Welfare Rs 1,200/yr (other_fees total Rs 26,200); Hostel fee separate at Rs 65,000/session; Refundable caution money Rs 25,000 (not included) (filled in gap-fill pass) | https://ayushcounselling.in/kunwar-shekhar-vijendra-ayurved-medical-college/</t>
  </si>
  <si>
    <t>Shree Satya Ayurvedic Medical College &amp; Hospital, Dhanupura,moradabad</t>
  </si>
  <si>
    <t>Moradabad</t>
  </si>
  <si>
    <t>Dhanupura, Moradabad, Uttar Pradesh</t>
  </si>
  <si>
    <t>+91-9927047334, 9808080567, 098080 80567</t>
  </si>
  <si>
    <t>2017ayu0498@gmail.com</t>
  </si>
  <si>
    <t>http://ssamch.com</t>
  </si>
  <si>
    <t>Museums, Laboratories, Classrooms, Audio-Visual Aids, Hostel (boys &amp; girls, separate)</t>
  </si>
  <si>
    <t>Sri Sai Ayurvedic Medical College &amp; Hospital, Aligarh</t>
  </si>
  <si>
    <t>Aligarh, Uttar Pradesh</t>
  </si>
  <si>
    <t>+91-8937044400, 8937033300, 9359508164</t>
  </si>
  <si>
    <t>srisamc@yahoo.com, saialigarh@gmail.com</t>
  </si>
  <si>
    <t>https://srisairgroup.com</t>
  </si>
  <si>
    <t>Library, Labs (Physiology, Pathology, Anatomy, Toxicology, Dravyaguna, Rasashastra), Herbal Garden, Clinical facility (Hospital wards), Cafeteria/Canteen, Boys Hostel (Jeevak) &amp; Girls Hostel (Sukanya), Transport/Ambulance, Playground, Multipurpose hall, Physiotherapy</t>
  </si>
  <si>
    <t>Collegedunia reports total BAMS course fee of Rs 10,45,000 for the 4.5-year academic course; per-year figure (~Rs 2,32,222) derived by dividing by 4.5, not an officially published annual figure - use with caution (filled in gap-fill pass) | https://collegedunia.com (courses-fees)</t>
  </si>
  <si>
    <t>Glocal College of Ayurvedic Medical Science &amp; Research Center, Mirzapur, Saharanpur</t>
  </si>
  <si>
    <t>Delhi-Yamunotri Marg (State Highway 57), Mirzapur Pole, Saharanpur, Uttar Pradesh - 247121</t>
  </si>
  <si>
    <t>+91 9311320018, +91 9311650087</t>
  </si>
  <si>
    <t>info@theglocaluniversity.in</t>
  </si>
  <si>
    <t>https://www.glocalayurvedacollege.in</t>
  </si>
  <si>
    <t>Attached Ayurveda hospital, part of Glocal University campus</t>
  </si>
  <si>
    <t>Single fee published for the college; full amount placed in tuition_fee. | upayush.com - List of Private BAMS Colleges in Uttar Pradesh https://upayush.com/list-of-private-bams-colleges-in-uttar-pradesh/; contact from https://www.glocaluniversity.edu.in/faculty-of-ayurveda/</t>
  </si>
  <si>
    <t>Saharanpur Ayurved Medical College , Vill &amp; Po- Sansarpur, Saharanpur</t>
  </si>
  <si>
    <t>Vill &amp; Po- Sansarpur, Saharanpur, Uttar Pradesh</t>
  </si>
  <si>
    <t>086502 33838</t>
  </si>
  <si>
    <t>https://www.saharanpurhospital.in</t>
  </si>
  <si>
    <t>Library, Classrooms, Boys Hostel, Girls Hostel, Transport Facility, Sports, Cafeteria, Wi-Fi, Smart Classrooms, Laboratories, Medical/Hospital, IT Infrastructure</t>
  </si>
  <si>
    <t>Private management/open quota 2025-26 (UP AYUSH Counselling)</t>
  </si>
  <si>
    <t>Only a total annual figure of Rs 2,04,600 is published; split into tuition/development/other not available, so full amount placed in tuition_fee. | edufever.com UP AYUSH College Fee Structure 2025-26 (https://www.edufever.com/uttar-pradesh-ayush-college-fee-structure/); aggregated from UP AYUSH counselling fee notice</t>
  </si>
  <si>
    <t>UP private BAMS fee is a single fixed annual fee per college for management/open (non-domicile) seats; no published category-wise split found.</t>
  </si>
  <si>
    <t>Sanjeevani Ayurvedic Medical College, Village- Kudana Chak, Near Brijghat, Amroha</t>
  </si>
  <si>
    <t>Amroha</t>
  </si>
  <si>
    <t>Village- Kudana Chak, Near Brijghat, Amroha, Uttar Pradesh</t>
  </si>
  <si>
    <t>sgcwelfaretrust@gmail.com, info@smcjpnagar.com</t>
  </si>
  <si>
    <t>http://www.smcjpnagar.com</t>
  </si>
  <si>
    <t>Wi-Fi Campus, Library, Lecture Hall, Computer facility, Sports, Transport, Banking, Canteen, Auditorium, Hostels, Laboratories</t>
  </si>
  <si>
    <t>Only a total annual figure of Rs 1,85,000 published; placed fully in tuition_fee. | edufever.com UP AYUSH College Fee Structure 2025-26 (https://www.edufever.com/uttar-pradesh-ayush-college-fee-structure/)</t>
  </si>
  <si>
    <t>No category-wise fee split published for other-state/management seats.</t>
  </si>
  <si>
    <t>Vimla Family Ayurvedic Medical College and Hospital, Kanpur Nagar</t>
  </si>
  <si>
    <t>Kanpur Nagar, Uttar Pradesh</t>
  </si>
  <si>
    <t>9151010363</t>
  </si>
  <si>
    <t>vimlagroup2015@gmail.com</t>
  </si>
  <si>
    <t>vimlagroup.com</t>
  </si>
  <si>
    <t>Attached hospital (60-120 beds), Hostel, Library, Herbal garden, Pharmacy, Labs, Auditorium</t>
  </si>
  <si>
    <t>Only a total annual figure published; placed fully in tuition_fee. | edufever.com UP AYUSH College Fee Structure 2025-26 (https://www.edufever.com/uttar-pradesh-ayush-college-fee-structure/)</t>
  </si>
  <si>
    <t>Amrapali Ayurvedic Medical College &amp; Hospital, Unnao</t>
  </si>
  <si>
    <t>Unnao</t>
  </si>
  <si>
    <t>Unnao, Uttar Pradesh</t>
  </si>
  <si>
    <t>9140061911</t>
  </si>
  <si>
    <t>support@aamcunnao.com</t>
  </si>
  <si>
    <t>aamcunnao.com</t>
  </si>
  <si>
    <t>Attached Ayurveda hospital, Hostel, Library, Labs, Herbal garden, Pharmacy</t>
  </si>
  <si>
    <t>R.B Ayurvedic Medical College &amp; Hospital, Jalesar Road Agra</t>
  </si>
  <si>
    <t>Jalesar Road, Agra, Uttar Pradesh</t>
  </si>
  <si>
    <t>9568005051</t>
  </si>
  <si>
    <t>rbamc.agra@gmail.com</t>
  </si>
  <si>
    <t>rbamc.in</t>
  </si>
  <si>
    <t>Hospital, Separate hostels for boys and girls, Herbal garden, Digital library, Pharmacy, Labs</t>
  </si>
  <si>
    <t>Only a total annual figure of Rs 2,52,400 published; placed fully in tuition_fee. | edufever.com UP AYUSH College Fee Structure 2025-26 (https://www.edufever.com/uttar-pradesh-ayush-college-fee-structure/)</t>
  </si>
  <si>
    <t>Prakash Institute of Ayurvedic Medical Sciences &amp; Research , Bulandshahar</t>
  </si>
  <si>
    <t>Bulandshahar</t>
  </si>
  <si>
    <t>Bulandshahar, Uttar Pradesh</t>
  </si>
  <si>
    <t>www.prakashayurvedicinstitute.in</t>
  </si>
  <si>
    <t>Herbal garden (3000 sqm), Library, Panchakarma facility, 14 teaching departments</t>
  </si>
  <si>
    <t>Only a total annual figure of Rs 2,60,500 published; placed fully in tuition_fee. | edufever.com UP AYUSH College Fee Structure 2025-26 (https://www.edufever.com/uttar-pradesh-ayush-college-fee-structure/)</t>
  </si>
  <si>
    <t>Odm Ayurvedic Medical College and Hospital, Koyal, Raya, Mathura</t>
  </si>
  <si>
    <t>Koyal, Raya, Mathura, Uttar Pradesh</t>
  </si>
  <si>
    <t>9837920448</t>
  </si>
  <si>
    <t>2024ayu0860@gmail.com</t>
  </si>
  <si>
    <t>odmamchmathura.com</t>
  </si>
  <si>
    <t>Hospital (OPD/IPD/OT/Panchakarma/X-Ray/Pathology lab), Pharmacy, Boys and Girls Hostel, Library, Labs, Cafeteria</t>
  </si>
  <si>
    <t>Vaidya Yagya Dutt Sharma Ayurved Mahavidyalaya Khurja Bulandshahar</t>
  </si>
  <si>
    <t>Khurja</t>
  </si>
  <si>
    <t>Khurja, Bulandshahar, Uttar Pradesh</t>
  </si>
  <si>
    <t>vydsayurvedmahavidyalaya.org</t>
  </si>
  <si>
    <t>Hostel, Library, Labs, Auditorium, Cafeteria, Attached hospital</t>
  </si>
  <si>
    <t>Only a total annual figure of Rs 2,59,100 published; placed fully in tuition_fee. | ayushcounselling.in / edufever.com UP AYUSH College Fee Structure 2025-26 (https://ayushcounselling.in/bams-colleges-fee-structure-in-uttar-pradesh/)</t>
  </si>
  <si>
    <t>Dr. Krishna Gopal Dwivedi Ayurvedic Medical College &amp; Hospital, Jhansi</t>
  </si>
  <si>
    <t>Jhansi</t>
  </si>
  <si>
    <t>Jhansi, Uttar Pradesh</t>
  </si>
  <si>
    <t>9415948930</t>
  </si>
  <si>
    <t>drkgdamchjhansi@rediffmail.com</t>
  </si>
  <si>
    <t>drkgdwivediayurvediccollegejhansi.com</t>
  </si>
  <si>
    <t>60-bed Ayurvedic hospital, Labs</t>
  </si>
  <si>
    <t>Only a total annual figure of Rs 2,25,800 published; placed fully in tuition_fee. | edufever.com UP AYUSH College Fee Structure 2025-26 (https://www.edufever.com/uttar-pradesh-ayush-college-fee-structure/)</t>
  </si>
  <si>
    <t>M.D. Ayurvedic College and Hospital, Babarpur, Sikandra, Agra</t>
  </si>
  <si>
    <t>Babarpur, Sikandra, Agra, Uttar Pradesh</t>
  </si>
  <si>
    <t>7906044057</t>
  </si>
  <si>
    <t>info@mdayurvediccollege.in</t>
  </si>
  <si>
    <t>mdayurvediccollege.in</t>
  </si>
  <si>
    <t>Hospital with OPD/IPD/NICU, Labs, Library, Leela Pharmacy on campus, Smart classrooms</t>
  </si>
  <si>
    <t>Only a total annual figure of Rs 2,48,900 published; placed fully in tuition_fee. | edufever.com UP AYUSH College Fee Structure 2025-26 (https://www.edufever.com/uttar-pradesh-ayush-college-fee-structure/)</t>
  </si>
  <si>
    <t>Bhartiya Ayurvedic Medical College, J P Nagar</t>
  </si>
  <si>
    <t>NH-24, Delhi-NCR Region, Near Brijghat, District Amroha, Uttar Pradesh - 244235</t>
  </si>
  <si>
    <t>bamsjpnagar@gmail.com</t>
  </si>
  <si>
    <t>www.bmcjpnagar.com</t>
  </si>
  <si>
    <t>Wi-Fi campus, Library, Computer facility, Labs, AC auditorium, Hospital with OPD, Hostel</t>
  </si>
  <si>
    <t>Only a total annual figure of Rs 2,49,300 published; placed fully in tuition_fee. | ayushcounselling.in - Bhartiya Ayurvedic Medical College page (https://ayushcounselling.in/bhartiya-ayurvedic-medical-college/); college site bmcjpnagar.com</t>
  </si>
  <si>
    <t>No category-wise fee split published for other-state/management seats. College is affiliated to Mahayogi Guru Gorakhnath AYUSH University, Gorakhpur; NCISM approved.</t>
  </si>
  <si>
    <t>Mahaveer Ayurvedic Medical College &amp; Hospital, Meerut</t>
  </si>
  <si>
    <t>Pohalli, Saradhana Road, Meerut - 250341, Uttar Pradesh</t>
  </si>
  <si>
    <t>9557928862</t>
  </si>
  <si>
    <t>info@mahaveerayurveda.com</t>
  </si>
  <si>
    <t>mahaveerayurveda.com</t>
  </si>
  <si>
    <t>Hospital, Separate hostels with mess (boys and girls), Library with reading room, Herbal garden, Panchakarma centre, Pharmacology museum, Labs, Sports complex</t>
  </si>
  <si>
    <t>Figure of Rs 2,04,600 most commonly cited; one source quotes ~Rs 2,44,000. Placed the more frequently cited figure fully in tuition_fee; exact regulated fee not independently confirmed from an official notice. | edufever.com / medicalguidance.in Mahaveer Ayurvedic Medical College Meerut 2025-26 (https://www.edufever.com/mahaveer-ayurvedic-medical-college/)</t>
  </si>
  <si>
    <t>Dr. Vijay Ayurvedic Medical College, Hospital &amp; Research Centre, Village- Bhandaha Kala, Post- Kalthi, Varanasi</t>
  </si>
  <si>
    <t>Village- Bhandaha Kala, Post- Kalthi, Varanasi, Uttar Pradesh</t>
  </si>
  <si>
    <t>7522803046</t>
  </si>
  <si>
    <t>help@drvijayayurveda.com</t>
  </si>
  <si>
    <t>drvijayayurveda.com</t>
  </si>
  <si>
    <t>150+ bed teaching hospital, Pathology lab, X-ray/USG, Hostel, Library</t>
  </si>
  <si>
    <t>Only a total annual figure of Rs 2,86,000 published; placed fully in tuition_fee. | edufever.com UP AYUSH College Fee Structure 2025-26 (https://www.edufever.com/uttar-pradesh-ayush-college-fee-structure/)</t>
  </si>
  <si>
    <t>I.T.M Ayurvedic Medical College, Chehari, Pharenda Road, Maharajganj</t>
  </si>
  <si>
    <t>Maharajganj</t>
  </si>
  <si>
    <t>Chehari, Pharenda Road, Maharajganj, Uttar Pradesh</t>
  </si>
  <si>
    <t>9794723031</t>
  </si>
  <si>
    <t>2021ayu0502@gmail.com</t>
  </si>
  <si>
    <t>itmamch.in</t>
  </si>
  <si>
    <t>Central library, Modern labs, Herbal garden, Pharmacy, Hostel, Gymnasium, Hospital with clinical departments</t>
  </si>
  <si>
    <t>Dr.Shakuntala Ayurvedic Medical College Nayansand, Gaura Badshahpur, Jaunpur</t>
  </si>
  <si>
    <t>Jaunpur</t>
  </si>
  <si>
    <t>Nayansand, Gaura Badshahpur, Jaunpur, Uttar Pradesh</t>
  </si>
  <si>
    <t>60-bed attached hospital, Hostel</t>
  </si>
  <si>
    <t>Maharana Pratap Ayurvedic Medical College, Ishwriganj, Baikunthpur, Bithoor Road, Kanpur Nagar</t>
  </si>
  <si>
    <t>Ishwriganj, Baikunthpur, Bithoor Road, Kanpur Nagar, Uttar Pradesh</t>
  </si>
  <si>
    <t>8318150711</t>
  </si>
  <si>
    <t>Director.mpac@mpgi.edu.in</t>
  </si>
  <si>
    <t>mpamc.in</t>
  </si>
  <si>
    <t>Affiliated Ayurvedic hospital with multiple clinical departments</t>
  </si>
  <si>
    <t>No category-wise fee split published for other-state/management seats. Distinct from id 233 (Maharana Pratap College of Ayurveda &amp; Medical Sciences, Mandhana) despite similar name.</t>
  </si>
  <si>
    <t>Maharana Pratap College of Ayurveda &amp; Medical Sciences Kothi Mandhana Kanpur Nagar 209217</t>
  </si>
  <si>
    <t>Kothi Mandhana, Kanpur Nagar - 209217, Uttar Pradesh</t>
  </si>
  <si>
    <t>mpcams.in</t>
  </si>
  <si>
    <t>Maharana Pratap Ayurvedic Hospital, Panchakarma Centre</t>
  </si>
  <si>
    <t>Could not confirm an exact regulated annual fee from an official notice; sources only give a range (Rs 2-3 lakh). Left null rather than invent a figure. Affiliated to Mahayogi Guru Gorakhnath AYUSH University, Gorakhpur. | Multiple aggregator sites (edufever.com, edutechagra.com, bamsayurveda.in) quote a range of Rs 2,00,000-3,00,000 for this college; no single confirmed figure found</t>
  </si>
  <si>
    <t>C.S Ayurvedic Medical College &amp; Hospital, Etah</t>
  </si>
  <si>
    <t>Etah</t>
  </si>
  <si>
    <t>Etah, Uttar Pradesh</t>
  </si>
  <si>
    <t>7078699657</t>
  </si>
  <si>
    <t>2021ayu0554@gmail.com</t>
  </si>
  <si>
    <t>csayurvediccollege.com</t>
  </si>
  <si>
    <t>100-bed hospital (OPD/IPD), Panchakarma and Ksharasutra therapy, Library, Labs</t>
  </si>
  <si>
    <t>Bhagwant Ayurvedic College &amp; Hospital, Bijnor Road Muzaffar Nagar</t>
  </si>
  <si>
    <t>17th Milestone, Bijnor-Delhi Highway, Bijnor Road, Muzaffarnagar, Uttar Pradesh</t>
  </si>
  <si>
    <t>7830601000</t>
  </si>
  <si>
    <t>bhagwant_society@rediffmail.com</t>
  </si>
  <si>
    <t>bacbh.com</t>
  </si>
  <si>
    <t>Hospital (OPD/IPD), Labs, Medical store/Pharmacy, Library, Hostel, Cafeteria, Transport</t>
  </si>
  <si>
    <t>No specific fee figure could be confirmed from available sources; left null rather than invent a figure. Affiliated to Mahayogi Guru Gorakhnath AYUSH University. | careers360.com, edufever.com, rmgoe.org pages on Bhagwant Ayurvedic College Muzaffarnagar (fee figures not disclosed in these sources)</t>
  </si>
  <si>
    <t>R.K. Ayurvedic Medical College &amp; Hospital, Sathion, Azamgarh</t>
  </si>
  <si>
    <t>Sathion, Azamgarh, Uttar Pradesh</t>
  </si>
  <si>
    <t>9794356262</t>
  </si>
  <si>
    <t>RKAYURVEDICMEDICALCOLLEGE@GMAIL.COM</t>
  </si>
  <si>
    <t>rkamc.org.in</t>
  </si>
  <si>
    <t>Hospital (OPD/IPD/Panchakarma/Ksharsutra/OT/Pathology/X-Ray/USG), Libraries, Computer labs, Hostel</t>
  </si>
  <si>
    <t>Only a total annual figure of Rs 2,50,000 published; placed fully in tuition_fee. | edufever.com UP AYUSH College Fee Structure 2025-26 (https://www.edufever.com/uttar-pradesh-ayush-college-fee-structure/)</t>
  </si>
  <si>
    <t>Baba Vishwanath Ayurvedic Medical College &amp; Hospital, Martiganj, Azamgarh</t>
  </si>
  <si>
    <t>Martiganj, Azamgarh, Uttar Pradesh</t>
  </si>
  <si>
    <t>9721458137</t>
  </si>
  <si>
    <t>bvamch.com</t>
  </si>
  <si>
    <t>60-bed attached hospital with 24/7 emergency and ambulance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</si>
</sst>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E5D33"/>
        <bgColor indexed="64"/>
      </patternFill>
    </fill>
    <fill>
      <patternFill patternType="solid">
        <fgColor rgb="FFEDF5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80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9"/>
  <sheetViews>
    <sheetView tabSelected="1" topLeftCell="N1" workbookViewId="0">
      <pane ySplit="1" topLeftCell="A2" activePane="bottomLeft" state="frozen"/>
      <selection/>
      <selection pane="bottomLeft" activeCell="L233" sqref="L233"/>
    </sheetView>
  </sheetViews>
  <sheetFormatPr defaultColWidth="9" defaultRowHeight="14.4"/>
  <cols>
    <col min="1" max="1" width="70" customWidth="1"/>
    <col min="2" max="2" width="16" customWidth="1"/>
    <col min="3" max="3" width="12" customWidth="1"/>
    <col min="4" max="4" width="9" customWidth="1"/>
    <col min="5" max="5" width="22" customWidth="1"/>
    <col min="6" max="6" width="12" customWidth="1"/>
    <col min="7" max="8" width="16" customWidth="1"/>
    <col min="9" max="9" width="50" customWidth="1"/>
    <col min="10" max="10" width="24" customWidth="1"/>
    <col min="11" max="11" width="30" customWidth="1"/>
    <col min="12" max="12" width="34" customWidth="1"/>
    <col min="13" max="13" width="10" customWidth="1"/>
    <col min="14" max="14" width="40" customWidth="1"/>
    <col min="15" max="15" width="50" customWidth="1"/>
    <col min="16" max="20" width="13" customWidth="1"/>
    <col min="21" max="21" width="26" customWidth="1"/>
    <col min="22" max="22" width="50" customWidth="1"/>
    <col min="23" max="27" width="13" customWidth="1"/>
    <col min="28" max="28" width="50" customWidth="1"/>
  </cols>
  <sheetData>
    <row r="1" ht="26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ht="26.4" customHeight="1" spans="1:28">
      <c r="A2" s="2" t="s">
        <v>27</v>
      </c>
      <c r="B2" s="3" t="s">
        <v>28</v>
      </c>
      <c r="C2" s="4">
        <v>554416</v>
      </c>
      <c r="D2" s="5">
        <v>265</v>
      </c>
      <c r="E2" s="6" t="s">
        <v>29</v>
      </c>
      <c r="F2" s="6">
        <v>2020</v>
      </c>
      <c r="G2" s="6" t="s">
        <v>30</v>
      </c>
      <c r="H2" s="6" t="s">
        <v>28</v>
      </c>
      <c r="I2" s="6" t="s">
        <v>31</v>
      </c>
      <c r="J2" s="6" t="s">
        <v>32</v>
      </c>
      <c r="K2" s="6" t="s">
        <v>33</v>
      </c>
      <c r="L2" s="6" t="s">
        <v>34</v>
      </c>
      <c r="M2" s="6">
        <v>60</v>
      </c>
      <c r="N2" s="6" t="s">
        <v>35</v>
      </c>
      <c r="O2" s="6" t="s">
        <v>36</v>
      </c>
      <c r="P2" s="6" t="s">
        <v>37</v>
      </c>
      <c r="Q2" s="7"/>
      <c r="R2" s="7"/>
      <c r="S2" s="7"/>
      <c r="T2" s="7" t="str">
        <f t="shared" ref="T2:T65" si="0">IF(COUNT(Q2:S2)=0,"",SUM(Q2:S2))</f>
        <v/>
      </c>
      <c r="U2" s="6" t="s">
        <v>38</v>
      </c>
      <c r="V2" s="6" t="s">
        <v>39</v>
      </c>
      <c r="W2" s="7"/>
      <c r="X2" s="7"/>
      <c r="Y2" s="7"/>
      <c r="Z2" s="7"/>
      <c r="AA2" s="7"/>
      <c r="AB2" s="6" t="s">
        <v>40</v>
      </c>
    </row>
    <row r="3" spans="1:28">
      <c r="A3" s="8" t="s">
        <v>41</v>
      </c>
      <c r="B3" s="9" t="s">
        <v>28</v>
      </c>
      <c r="C3" s="10">
        <v>374421</v>
      </c>
      <c r="D3" s="11">
        <v>327</v>
      </c>
      <c r="E3" s="6" t="s">
        <v>29</v>
      </c>
      <c r="F3" s="6">
        <v>1955</v>
      </c>
      <c r="G3" s="6" t="s">
        <v>42</v>
      </c>
      <c r="H3" s="6" t="s">
        <v>28</v>
      </c>
      <c r="I3" s="6" t="s">
        <v>43</v>
      </c>
      <c r="J3" s="6" t="s">
        <v>44</v>
      </c>
      <c r="K3" s="6" t="s">
        <v>45</v>
      </c>
      <c r="L3" s="6" t="s">
        <v>46</v>
      </c>
      <c r="M3" s="6">
        <v>65</v>
      </c>
      <c r="N3" s="6" t="s">
        <v>47</v>
      </c>
      <c r="O3" s="6" t="s">
        <v>48</v>
      </c>
      <c r="P3" s="6" t="s">
        <v>37</v>
      </c>
      <c r="Q3" s="7">
        <v>400000</v>
      </c>
      <c r="R3" s="7">
        <v>0</v>
      </c>
      <c r="S3" s="7">
        <v>0</v>
      </c>
      <c r="T3" s="7">
        <f t="shared" si="0"/>
        <v>400000</v>
      </c>
      <c r="U3" s="6" t="s">
        <v>49</v>
      </c>
      <c r="V3" s="6" t="s">
        <v>50</v>
      </c>
      <c r="W3" s="7">
        <v>400000</v>
      </c>
      <c r="X3" s="7">
        <v>400000</v>
      </c>
      <c r="Y3" s="7">
        <v>400000</v>
      </c>
      <c r="Z3" s="7">
        <v>400000</v>
      </c>
      <c r="AA3" s="7">
        <v>400000</v>
      </c>
      <c r="AB3" s="6" t="s">
        <v>51</v>
      </c>
    </row>
    <row r="4" ht="26.4" customHeight="1" spans="1:28">
      <c r="A4" s="2" t="s">
        <v>52</v>
      </c>
      <c r="B4" s="3" t="s">
        <v>28</v>
      </c>
      <c r="C4" s="4">
        <v>459787</v>
      </c>
      <c r="D4" s="5">
        <v>295</v>
      </c>
      <c r="E4" s="6" t="s">
        <v>29</v>
      </c>
      <c r="F4" s="6">
        <v>2021</v>
      </c>
      <c r="G4" s="6" t="s">
        <v>53</v>
      </c>
      <c r="H4" s="6" t="s">
        <v>28</v>
      </c>
      <c r="I4" s="6" t="s">
        <v>54</v>
      </c>
      <c r="J4" s="6" t="s">
        <v>55</v>
      </c>
      <c r="K4" s="6" t="s">
        <v>56</v>
      </c>
      <c r="L4" s="6" t="s">
        <v>57</v>
      </c>
      <c r="M4" s="6">
        <v>100</v>
      </c>
      <c r="N4" s="6" t="s">
        <v>35</v>
      </c>
      <c r="O4" s="6" t="s">
        <v>58</v>
      </c>
      <c r="P4" s="6" t="s">
        <v>37</v>
      </c>
      <c r="Q4" s="7"/>
      <c r="R4" s="7"/>
      <c r="S4" s="7"/>
      <c r="T4" s="7" t="str">
        <f t="shared" si="0"/>
        <v/>
      </c>
      <c r="U4" s="6" t="s">
        <v>38</v>
      </c>
      <c r="V4" s="6" t="s">
        <v>59</v>
      </c>
      <c r="W4" s="7"/>
      <c r="X4" s="7"/>
      <c r="Y4" s="7"/>
      <c r="Z4" s="7"/>
      <c r="AA4" s="7"/>
      <c r="AB4" s="6" t="s">
        <v>40</v>
      </c>
    </row>
    <row r="5" ht="26.4" customHeight="1" spans="1:28">
      <c r="A5" s="8" t="s">
        <v>60</v>
      </c>
      <c r="B5" s="9" t="s">
        <v>28</v>
      </c>
      <c r="C5" s="10">
        <v>297579</v>
      </c>
      <c r="D5" s="11">
        <v>359</v>
      </c>
      <c r="E5" s="6" t="s">
        <v>29</v>
      </c>
      <c r="F5" s="6">
        <v>2016</v>
      </c>
      <c r="G5" s="6" t="s">
        <v>61</v>
      </c>
      <c r="H5" s="6" t="s">
        <v>28</v>
      </c>
      <c r="I5" s="6" t="s">
        <v>62</v>
      </c>
      <c r="J5" s="6" t="s">
        <v>63</v>
      </c>
      <c r="K5" s="6" t="s">
        <v>64</v>
      </c>
      <c r="L5" s="6" t="s">
        <v>65</v>
      </c>
      <c r="M5" s="6">
        <v>100</v>
      </c>
      <c r="N5" s="6" t="s">
        <v>35</v>
      </c>
      <c r="O5" s="6" t="s">
        <v>66</v>
      </c>
      <c r="P5" s="6"/>
      <c r="Q5" s="7">
        <v>300000</v>
      </c>
      <c r="R5" s="7">
        <v>0</v>
      </c>
      <c r="S5" s="7">
        <v>0</v>
      </c>
      <c r="T5" s="7">
        <f t="shared" si="0"/>
        <v>300000</v>
      </c>
      <c r="U5" s="6" t="s">
        <v>38</v>
      </c>
      <c r="V5" s="6" t="s">
        <v>67</v>
      </c>
      <c r="W5" s="7">
        <v>300000</v>
      </c>
      <c r="X5" s="7">
        <v>300000</v>
      </c>
      <c r="Y5" s="7">
        <v>300000</v>
      </c>
      <c r="Z5" s="7">
        <v>300000</v>
      </c>
      <c r="AA5" s="7">
        <v>300000</v>
      </c>
      <c r="AB5" s="6" t="s">
        <v>40</v>
      </c>
    </row>
    <row r="6" ht="26.4" customHeight="1" spans="1:28">
      <c r="A6" s="2" t="s">
        <v>68</v>
      </c>
      <c r="B6" s="3" t="s">
        <v>28</v>
      </c>
      <c r="C6" s="4">
        <v>383318</v>
      </c>
      <c r="D6" s="5">
        <v>323</v>
      </c>
      <c r="E6" s="6" t="s">
        <v>29</v>
      </c>
      <c r="F6" s="6">
        <v>1996</v>
      </c>
      <c r="G6" s="6" t="s">
        <v>69</v>
      </c>
      <c r="H6" s="6" t="s">
        <v>28</v>
      </c>
      <c r="I6" s="6" t="s">
        <v>70</v>
      </c>
      <c r="J6" s="6" t="s">
        <v>71</v>
      </c>
      <c r="K6" s="6" t="s">
        <v>72</v>
      </c>
      <c r="L6" s="6" t="s">
        <v>73</v>
      </c>
      <c r="M6" s="6">
        <v>100</v>
      </c>
      <c r="N6" s="6" t="s">
        <v>47</v>
      </c>
      <c r="O6" s="6" t="s">
        <v>74</v>
      </c>
      <c r="P6" s="6" t="s">
        <v>37</v>
      </c>
      <c r="Q6" s="7">
        <v>250000</v>
      </c>
      <c r="R6" s="7">
        <v>0</v>
      </c>
      <c r="S6" s="7">
        <v>0</v>
      </c>
      <c r="T6" s="7">
        <f t="shared" si="0"/>
        <v>250000</v>
      </c>
      <c r="U6" s="6" t="s">
        <v>75</v>
      </c>
      <c r="V6" s="6" t="s">
        <v>76</v>
      </c>
      <c r="W6" s="7">
        <v>250000</v>
      </c>
      <c r="X6" s="7">
        <v>250000</v>
      </c>
      <c r="Y6" s="7">
        <v>250000</v>
      </c>
      <c r="Z6" s="7">
        <v>250000</v>
      </c>
      <c r="AA6" s="7">
        <v>250000</v>
      </c>
      <c r="AB6" s="6" t="s">
        <v>51</v>
      </c>
    </row>
    <row r="7" spans="1:28">
      <c r="A7" s="8" t="s">
        <v>77</v>
      </c>
      <c r="B7" s="9" t="s">
        <v>28</v>
      </c>
      <c r="C7" s="10">
        <v>510113</v>
      </c>
      <c r="D7" s="11">
        <v>279</v>
      </c>
      <c r="E7" s="6" t="s">
        <v>29</v>
      </c>
      <c r="F7" s="6">
        <v>1996</v>
      </c>
      <c r="G7" s="6" t="s">
        <v>78</v>
      </c>
      <c r="H7" s="6" t="s">
        <v>28</v>
      </c>
      <c r="I7" s="6" t="s">
        <v>79</v>
      </c>
      <c r="J7" s="6" t="s">
        <v>80</v>
      </c>
      <c r="K7" s="6" t="s">
        <v>81</v>
      </c>
      <c r="L7" s="6" t="s">
        <v>82</v>
      </c>
      <c r="M7" s="6">
        <v>60</v>
      </c>
      <c r="N7" s="6" t="s">
        <v>35</v>
      </c>
      <c r="O7" s="6" t="s">
        <v>83</v>
      </c>
      <c r="P7" s="6" t="s">
        <v>37</v>
      </c>
      <c r="Q7" s="7">
        <v>340875</v>
      </c>
      <c r="R7" s="7">
        <v>0</v>
      </c>
      <c r="S7" s="7">
        <v>0</v>
      </c>
      <c r="T7" s="7">
        <f t="shared" si="0"/>
        <v>340875</v>
      </c>
      <c r="U7" s="6" t="s">
        <v>84</v>
      </c>
      <c r="V7" s="6" t="s">
        <v>85</v>
      </c>
      <c r="W7" s="7">
        <v>340875</v>
      </c>
      <c r="X7" s="7">
        <v>340875</v>
      </c>
      <c r="Y7" s="7">
        <v>340875</v>
      </c>
      <c r="Z7" s="7">
        <v>340875</v>
      </c>
      <c r="AA7" s="7">
        <v>340875</v>
      </c>
      <c r="AB7" s="6" t="s">
        <v>86</v>
      </c>
    </row>
    <row r="8" ht="26.4" customHeight="1" spans="1:28">
      <c r="A8" s="2" t="s">
        <v>87</v>
      </c>
      <c r="B8" s="3" t="s">
        <v>28</v>
      </c>
      <c r="C8" s="4">
        <v>425344</v>
      </c>
      <c r="D8" s="5">
        <v>307</v>
      </c>
      <c r="E8" s="6" t="s">
        <v>29</v>
      </c>
      <c r="F8" s="6">
        <v>1987</v>
      </c>
      <c r="G8" s="6" t="s">
        <v>88</v>
      </c>
      <c r="H8" s="6" t="s">
        <v>28</v>
      </c>
      <c r="I8" s="6" t="s">
        <v>89</v>
      </c>
      <c r="J8" s="6" t="s">
        <v>90</v>
      </c>
      <c r="K8" s="6" t="s">
        <v>91</v>
      </c>
      <c r="L8" s="6" t="s">
        <v>92</v>
      </c>
      <c r="M8" s="6">
        <v>60</v>
      </c>
      <c r="N8" s="6" t="s">
        <v>47</v>
      </c>
      <c r="O8" s="6" t="s">
        <v>93</v>
      </c>
      <c r="P8" s="6" t="s">
        <v>37</v>
      </c>
      <c r="Q8" s="7"/>
      <c r="R8" s="7"/>
      <c r="S8" s="7"/>
      <c r="T8" s="7" t="str">
        <f t="shared" si="0"/>
        <v/>
      </c>
      <c r="U8" s="6" t="s">
        <v>38</v>
      </c>
      <c r="V8" s="6" t="s">
        <v>94</v>
      </c>
      <c r="W8" s="7"/>
      <c r="X8" s="7"/>
      <c r="Y8" s="7"/>
      <c r="Z8" s="7"/>
      <c r="AA8" s="7"/>
      <c r="AB8" s="6" t="s">
        <v>40</v>
      </c>
    </row>
    <row r="9" ht="26.4" customHeight="1" spans="1:28">
      <c r="A9" s="8" t="s">
        <v>95</v>
      </c>
      <c r="B9" s="9" t="s">
        <v>28</v>
      </c>
      <c r="C9" s="10">
        <v>418254</v>
      </c>
      <c r="D9" s="11">
        <v>310</v>
      </c>
      <c r="E9" s="6" t="s">
        <v>29</v>
      </c>
      <c r="F9" s="6">
        <v>2004</v>
      </c>
      <c r="G9" s="6" t="s">
        <v>96</v>
      </c>
      <c r="H9" s="6" t="s">
        <v>28</v>
      </c>
      <c r="I9" s="6" t="s">
        <v>97</v>
      </c>
      <c r="J9" s="6" t="s">
        <v>98</v>
      </c>
      <c r="K9" s="6" t="s">
        <v>99</v>
      </c>
      <c r="L9" s="6" t="s">
        <v>100</v>
      </c>
      <c r="M9" s="6">
        <v>60</v>
      </c>
      <c r="N9" s="6" t="s">
        <v>35</v>
      </c>
      <c r="O9" s="6" t="s">
        <v>101</v>
      </c>
      <c r="P9" s="6" t="s">
        <v>37</v>
      </c>
      <c r="Q9" s="7">
        <v>200000</v>
      </c>
      <c r="R9" s="7">
        <v>0</v>
      </c>
      <c r="S9" s="7">
        <v>0</v>
      </c>
      <c r="T9" s="7">
        <f t="shared" si="0"/>
        <v>200000</v>
      </c>
      <c r="U9" s="6" t="s">
        <v>38</v>
      </c>
      <c r="V9" s="6" t="s">
        <v>102</v>
      </c>
      <c r="W9" s="7">
        <v>200000</v>
      </c>
      <c r="X9" s="7">
        <v>200000</v>
      </c>
      <c r="Y9" s="7">
        <v>200000</v>
      </c>
      <c r="Z9" s="7">
        <v>200000</v>
      </c>
      <c r="AA9" s="7">
        <v>200000</v>
      </c>
      <c r="AB9" s="6" t="s">
        <v>40</v>
      </c>
    </row>
    <row r="10" ht="26.4" customHeight="1" spans="1:28">
      <c r="A10" s="2" t="s">
        <v>103</v>
      </c>
      <c r="B10" s="3" t="s">
        <v>28</v>
      </c>
      <c r="C10" s="4">
        <v>501084</v>
      </c>
      <c r="D10" s="5">
        <v>281</v>
      </c>
      <c r="E10" s="6" t="s">
        <v>29</v>
      </c>
      <c r="F10" s="6">
        <v>1992</v>
      </c>
      <c r="G10" s="6" t="s">
        <v>104</v>
      </c>
      <c r="H10" s="6" t="s">
        <v>28</v>
      </c>
      <c r="I10" s="6" t="s">
        <v>105</v>
      </c>
      <c r="J10" s="6" t="s">
        <v>106</v>
      </c>
      <c r="K10" s="6" t="s">
        <v>107</v>
      </c>
      <c r="L10" s="6" t="s">
        <v>108</v>
      </c>
      <c r="M10" s="6">
        <v>60</v>
      </c>
      <c r="N10" s="6" t="s">
        <v>47</v>
      </c>
      <c r="O10" s="6" t="s">
        <v>109</v>
      </c>
      <c r="P10" s="6" t="s">
        <v>37</v>
      </c>
      <c r="Q10" s="7"/>
      <c r="R10" s="7"/>
      <c r="S10" s="7"/>
      <c r="T10" s="7" t="str">
        <f t="shared" si="0"/>
        <v/>
      </c>
      <c r="U10" s="6" t="s">
        <v>38</v>
      </c>
      <c r="V10" s="6" t="s">
        <v>39</v>
      </c>
      <c r="W10" s="7"/>
      <c r="X10" s="7"/>
      <c r="Y10" s="7"/>
      <c r="Z10" s="7"/>
      <c r="AA10" s="7"/>
      <c r="AB10" s="6" t="s">
        <v>40</v>
      </c>
    </row>
    <row r="11" ht="26.4" customHeight="1" spans="1:28">
      <c r="A11" s="8" t="s">
        <v>110</v>
      </c>
      <c r="B11" s="9" t="s">
        <v>28</v>
      </c>
      <c r="C11" s="10">
        <v>430672</v>
      </c>
      <c r="D11" s="11">
        <v>306</v>
      </c>
      <c r="E11" s="6" t="s">
        <v>29</v>
      </c>
      <c r="F11" s="6">
        <v>2006</v>
      </c>
      <c r="G11" s="6" t="s">
        <v>111</v>
      </c>
      <c r="H11" s="6" t="s">
        <v>28</v>
      </c>
      <c r="I11" s="6" t="s">
        <v>112</v>
      </c>
      <c r="J11" s="6" t="s">
        <v>113</v>
      </c>
      <c r="K11" s="6" t="s">
        <v>114</v>
      </c>
      <c r="L11" s="6" t="s">
        <v>115</v>
      </c>
      <c r="M11" s="6">
        <v>100</v>
      </c>
      <c r="N11" s="6" t="s">
        <v>35</v>
      </c>
      <c r="O11" s="6" t="s">
        <v>116</v>
      </c>
      <c r="P11" s="6" t="s">
        <v>37</v>
      </c>
      <c r="Q11" s="7"/>
      <c r="R11" s="7"/>
      <c r="S11" s="7"/>
      <c r="T11" s="7" t="str">
        <f t="shared" si="0"/>
        <v/>
      </c>
      <c r="U11" s="6" t="s">
        <v>38</v>
      </c>
      <c r="V11" s="6" t="s">
        <v>39</v>
      </c>
      <c r="W11" s="7"/>
      <c r="X11" s="7"/>
      <c r="Y11" s="7"/>
      <c r="Z11" s="7"/>
      <c r="AA11" s="7"/>
      <c r="AB11" s="6" t="s">
        <v>40</v>
      </c>
    </row>
    <row r="12" spans="1:28">
      <c r="A12" s="2" t="s">
        <v>117</v>
      </c>
      <c r="B12" s="3" t="s">
        <v>28</v>
      </c>
      <c r="C12" s="4"/>
      <c r="D12" s="5"/>
      <c r="E12" s="6" t="s">
        <v>29</v>
      </c>
      <c r="F12" s="6">
        <v>1954</v>
      </c>
      <c r="G12" s="6" t="s">
        <v>118</v>
      </c>
      <c r="H12" s="6" t="s">
        <v>28</v>
      </c>
      <c r="I12" s="6" t="s">
        <v>119</v>
      </c>
      <c r="J12" s="6" t="s">
        <v>120</v>
      </c>
      <c r="K12" s="6" t="s">
        <v>121</v>
      </c>
      <c r="L12" s="6" t="s">
        <v>122</v>
      </c>
      <c r="M12" s="6">
        <v>60</v>
      </c>
      <c r="N12" s="6" t="s">
        <v>123</v>
      </c>
      <c r="O12" s="6" t="s">
        <v>124</v>
      </c>
      <c r="P12" s="6" t="s">
        <v>37</v>
      </c>
      <c r="Q12" s="7"/>
      <c r="R12" s="7"/>
      <c r="S12" s="7"/>
      <c r="T12" s="7" t="str">
        <f t="shared" si="0"/>
        <v/>
      </c>
      <c r="U12" s="6" t="s">
        <v>38</v>
      </c>
      <c r="V12" s="6" t="s">
        <v>125</v>
      </c>
      <c r="W12" s="7"/>
      <c r="X12" s="7"/>
      <c r="Y12" s="7"/>
      <c r="Z12" s="7"/>
      <c r="AA12" s="7"/>
      <c r="AB12" s="6" t="s">
        <v>126</v>
      </c>
    </row>
    <row r="13" ht="26.4" customHeight="1" spans="1:28">
      <c r="A13" s="8" t="s">
        <v>127</v>
      </c>
      <c r="B13" s="9" t="s">
        <v>28</v>
      </c>
      <c r="C13" s="10">
        <v>550185</v>
      </c>
      <c r="D13" s="11">
        <v>266</v>
      </c>
      <c r="E13" s="6" t="s">
        <v>29</v>
      </c>
      <c r="F13" s="6">
        <v>1992</v>
      </c>
      <c r="G13" s="6" t="s">
        <v>128</v>
      </c>
      <c r="H13" s="6" t="s">
        <v>28</v>
      </c>
      <c r="I13" s="6" t="s">
        <v>129</v>
      </c>
      <c r="J13" s="6" t="s">
        <v>130</v>
      </c>
      <c r="K13" s="6" t="s">
        <v>131</v>
      </c>
      <c r="L13" s="6" t="s">
        <v>132</v>
      </c>
      <c r="M13" s="6">
        <v>60</v>
      </c>
      <c r="N13" s="6" t="s">
        <v>133</v>
      </c>
      <c r="O13" s="6" t="s">
        <v>134</v>
      </c>
      <c r="P13" s="6" t="s">
        <v>37</v>
      </c>
      <c r="Q13" s="7">
        <v>272250</v>
      </c>
      <c r="R13" s="7">
        <v>0</v>
      </c>
      <c r="S13" s="7">
        <v>0</v>
      </c>
      <c r="T13" s="7">
        <f t="shared" si="0"/>
        <v>272250</v>
      </c>
      <c r="U13" s="6" t="s">
        <v>38</v>
      </c>
      <c r="V13" s="6" t="s">
        <v>135</v>
      </c>
      <c r="W13" s="7">
        <v>272250</v>
      </c>
      <c r="X13" s="7">
        <v>272250</v>
      </c>
      <c r="Y13" s="7">
        <v>272250</v>
      </c>
      <c r="Z13" s="7">
        <v>272250</v>
      </c>
      <c r="AA13" s="7">
        <v>272250</v>
      </c>
      <c r="AB13" s="6" t="s">
        <v>40</v>
      </c>
    </row>
    <row r="14" ht="26.4" customHeight="1" spans="1:28">
      <c r="A14" s="2" t="s">
        <v>136</v>
      </c>
      <c r="B14" s="3" t="s">
        <v>28</v>
      </c>
      <c r="C14" s="4">
        <v>333246</v>
      </c>
      <c r="D14" s="5">
        <v>344</v>
      </c>
      <c r="E14" s="6" t="s">
        <v>29</v>
      </c>
      <c r="F14" s="6">
        <v>1996</v>
      </c>
      <c r="G14" s="6" t="s">
        <v>137</v>
      </c>
      <c r="H14" s="6" t="s">
        <v>28</v>
      </c>
      <c r="I14" s="6" t="s">
        <v>138</v>
      </c>
      <c r="J14" s="6" t="s">
        <v>139</v>
      </c>
      <c r="K14" s="6"/>
      <c r="L14" s="6" t="s">
        <v>140</v>
      </c>
      <c r="M14" s="6"/>
      <c r="N14" s="6" t="s">
        <v>35</v>
      </c>
      <c r="O14" s="6" t="s">
        <v>141</v>
      </c>
      <c r="P14" s="6" t="s">
        <v>37</v>
      </c>
      <c r="Q14" s="7"/>
      <c r="R14" s="7"/>
      <c r="S14" s="7"/>
      <c r="T14" s="7" t="str">
        <f t="shared" si="0"/>
        <v/>
      </c>
      <c r="U14" s="6"/>
      <c r="V14" s="6" t="s">
        <v>142</v>
      </c>
      <c r="W14" s="7"/>
      <c r="X14" s="7"/>
      <c r="Y14" s="7"/>
      <c r="Z14" s="7"/>
      <c r="AA14" s="7"/>
      <c r="AB14" s="6" t="s">
        <v>143</v>
      </c>
    </row>
    <row r="15" ht="26.4" customHeight="1" spans="1:28">
      <c r="A15" s="8" t="s">
        <v>144</v>
      </c>
      <c r="B15" s="9" t="s">
        <v>28</v>
      </c>
      <c r="C15" s="10">
        <v>463597</v>
      </c>
      <c r="D15" s="11">
        <v>294</v>
      </c>
      <c r="E15" s="6" t="s">
        <v>29</v>
      </c>
      <c r="F15" s="6">
        <v>1996</v>
      </c>
      <c r="G15" s="6" t="s">
        <v>145</v>
      </c>
      <c r="H15" s="6" t="s">
        <v>28</v>
      </c>
      <c r="I15" s="6" t="s">
        <v>146</v>
      </c>
      <c r="J15" s="6" t="s">
        <v>147</v>
      </c>
      <c r="K15" s="6" t="s">
        <v>148</v>
      </c>
      <c r="L15" s="6" t="s">
        <v>149</v>
      </c>
      <c r="M15" s="6">
        <v>60</v>
      </c>
      <c r="N15" s="6" t="s">
        <v>35</v>
      </c>
      <c r="O15" s="6"/>
      <c r="P15" s="6"/>
      <c r="Q15" s="7">
        <v>250750</v>
      </c>
      <c r="R15" s="7">
        <v>0</v>
      </c>
      <c r="S15" s="7">
        <v>0</v>
      </c>
      <c r="T15" s="7">
        <f t="shared" si="0"/>
        <v>250750</v>
      </c>
      <c r="U15" s="6" t="s">
        <v>150</v>
      </c>
      <c r="V15" s="6" t="s">
        <v>151</v>
      </c>
      <c r="W15" s="7">
        <v>250750</v>
      </c>
      <c r="X15" s="7">
        <v>250750</v>
      </c>
      <c r="Y15" s="7">
        <v>250750</v>
      </c>
      <c r="Z15" s="7">
        <v>250750</v>
      </c>
      <c r="AA15" s="7">
        <v>250750</v>
      </c>
      <c r="AB15" s="6" t="s">
        <v>143</v>
      </c>
    </row>
    <row r="16" ht="26.4" customHeight="1" spans="1:28">
      <c r="A16" s="2" t="s">
        <v>152</v>
      </c>
      <c r="B16" s="3" t="s">
        <v>28</v>
      </c>
      <c r="C16" s="4">
        <v>362664</v>
      </c>
      <c r="D16" s="5">
        <v>331</v>
      </c>
      <c r="E16" s="6" t="s">
        <v>29</v>
      </c>
      <c r="F16" s="6">
        <v>2023</v>
      </c>
      <c r="G16" s="6" t="s">
        <v>153</v>
      </c>
      <c r="H16" s="6" t="s">
        <v>28</v>
      </c>
      <c r="I16" s="6" t="s">
        <v>154</v>
      </c>
      <c r="J16" s="6" t="s">
        <v>155</v>
      </c>
      <c r="K16" s="6" t="s">
        <v>156</v>
      </c>
      <c r="L16" s="6" t="s">
        <v>157</v>
      </c>
      <c r="M16" s="6">
        <v>60</v>
      </c>
      <c r="N16" s="6" t="s">
        <v>35</v>
      </c>
      <c r="O16" s="6" t="s">
        <v>158</v>
      </c>
      <c r="P16" s="6" t="s">
        <v>37</v>
      </c>
      <c r="Q16" s="7"/>
      <c r="R16" s="7"/>
      <c r="S16" s="7"/>
      <c r="T16" s="7" t="str">
        <f t="shared" si="0"/>
        <v/>
      </c>
      <c r="U16" s="6" t="s">
        <v>38</v>
      </c>
      <c r="V16" s="6" t="s">
        <v>39</v>
      </c>
      <c r="W16" s="7"/>
      <c r="X16" s="7"/>
      <c r="Y16" s="7"/>
      <c r="Z16" s="7"/>
      <c r="AA16" s="7"/>
      <c r="AB16" s="6" t="s">
        <v>40</v>
      </c>
    </row>
    <row r="17" ht="26.4" customHeight="1" spans="1:28">
      <c r="A17" s="8" t="s">
        <v>159</v>
      </c>
      <c r="B17" s="9" t="s">
        <v>28</v>
      </c>
      <c r="C17" s="10">
        <v>477109</v>
      </c>
      <c r="D17" s="11">
        <v>289</v>
      </c>
      <c r="E17" s="6" t="s">
        <v>29</v>
      </c>
      <c r="F17" s="6">
        <v>2004</v>
      </c>
      <c r="G17" s="6" t="s">
        <v>160</v>
      </c>
      <c r="H17" s="6" t="s">
        <v>28</v>
      </c>
      <c r="I17" s="6" t="s">
        <v>161</v>
      </c>
      <c r="J17" s="6" t="s">
        <v>162</v>
      </c>
      <c r="K17" s="6" t="s">
        <v>163</v>
      </c>
      <c r="L17" s="6" t="s">
        <v>164</v>
      </c>
      <c r="M17" s="6">
        <v>50</v>
      </c>
      <c r="N17" s="6" t="s">
        <v>35</v>
      </c>
      <c r="O17" s="6" t="s">
        <v>109</v>
      </c>
      <c r="P17" s="6" t="s">
        <v>37</v>
      </c>
      <c r="Q17" s="7"/>
      <c r="R17" s="7"/>
      <c r="S17" s="7"/>
      <c r="T17" s="7" t="str">
        <f t="shared" si="0"/>
        <v/>
      </c>
      <c r="U17" s="6" t="s">
        <v>38</v>
      </c>
      <c r="V17" s="6" t="s">
        <v>165</v>
      </c>
      <c r="W17" s="7"/>
      <c r="X17" s="7"/>
      <c r="Y17" s="7"/>
      <c r="Z17" s="7"/>
      <c r="AA17" s="7"/>
      <c r="AB17" s="6" t="s">
        <v>40</v>
      </c>
    </row>
    <row r="18" ht="26.4" customHeight="1" spans="1:28">
      <c r="A18" s="2" t="s">
        <v>166</v>
      </c>
      <c r="B18" s="3" t="s">
        <v>28</v>
      </c>
      <c r="C18" s="4">
        <v>183274</v>
      </c>
      <c r="D18" s="5">
        <v>415</v>
      </c>
      <c r="E18" s="6" t="s">
        <v>29</v>
      </c>
      <c r="F18" s="6">
        <v>2010</v>
      </c>
      <c r="G18" s="6" t="s">
        <v>53</v>
      </c>
      <c r="H18" s="6" t="s">
        <v>28</v>
      </c>
      <c r="I18" s="6" t="s">
        <v>167</v>
      </c>
      <c r="J18" s="6" t="s">
        <v>168</v>
      </c>
      <c r="K18" s="6" t="s">
        <v>169</v>
      </c>
      <c r="L18" s="6" t="s">
        <v>170</v>
      </c>
      <c r="M18" s="6">
        <v>100</v>
      </c>
      <c r="N18" s="6" t="s">
        <v>35</v>
      </c>
      <c r="O18" s="6" t="s">
        <v>171</v>
      </c>
      <c r="P18" s="6" t="s">
        <v>37</v>
      </c>
      <c r="Q18" s="7"/>
      <c r="R18" s="7"/>
      <c r="S18" s="7"/>
      <c r="T18" s="7" t="str">
        <f t="shared" si="0"/>
        <v/>
      </c>
      <c r="U18" s="6" t="s">
        <v>38</v>
      </c>
      <c r="V18" s="6" t="s">
        <v>172</v>
      </c>
      <c r="W18" s="7"/>
      <c r="X18" s="7"/>
      <c r="Y18" s="7"/>
      <c r="Z18" s="7"/>
      <c r="AA18" s="7"/>
      <c r="AB18" s="6" t="s">
        <v>40</v>
      </c>
    </row>
    <row r="19" ht="39.6" customHeight="1" spans="1:28">
      <c r="A19" s="8" t="s">
        <v>173</v>
      </c>
      <c r="B19" s="9" t="s">
        <v>28</v>
      </c>
      <c r="C19" s="10">
        <v>496081</v>
      </c>
      <c r="D19" s="11">
        <v>283</v>
      </c>
      <c r="E19" s="6" t="s">
        <v>29</v>
      </c>
      <c r="F19" s="6">
        <v>1992</v>
      </c>
      <c r="G19" s="6" t="s">
        <v>42</v>
      </c>
      <c r="H19" s="6" t="s">
        <v>28</v>
      </c>
      <c r="I19" s="6" t="s">
        <v>174</v>
      </c>
      <c r="J19" s="6" t="s">
        <v>175</v>
      </c>
      <c r="K19" s="6"/>
      <c r="L19" s="6"/>
      <c r="M19" s="6">
        <v>50</v>
      </c>
      <c r="N19" s="6" t="s">
        <v>35</v>
      </c>
      <c r="O19" s="6"/>
      <c r="P19" s="6" t="s">
        <v>37</v>
      </c>
      <c r="Q19" s="7">
        <v>200500</v>
      </c>
      <c r="R19" s="7">
        <v>0</v>
      </c>
      <c r="S19" s="7">
        <v>0</v>
      </c>
      <c r="T19" s="7">
        <f t="shared" si="0"/>
        <v>200500</v>
      </c>
      <c r="U19" s="6" t="s">
        <v>176</v>
      </c>
      <c r="V19" s="6" t="s">
        <v>177</v>
      </c>
      <c r="W19" s="7">
        <v>200500</v>
      </c>
      <c r="X19" s="7">
        <v>200500</v>
      </c>
      <c r="Y19" s="7">
        <v>200500</v>
      </c>
      <c r="Z19" s="7">
        <v>200500</v>
      </c>
      <c r="AA19" s="7">
        <v>200500</v>
      </c>
      <c r="AB19" s="6" t="s">
        <v>178</v>
      </c>
    </row>
    <row r="20" spans="1:28">
      <c r="A20" s="2" t="s">
        <v>179</v>
      </c>
      <c r="B20" s="3" t="s">
        <v>28</v>
      </c>
      <c r="C20" s="4">
        <v>502200</v>
      </c>
      <c r="D20" s="5">
        <v>281</v>
      </c>
      <c r="E20" s="6" t="s">
        <v>29</v>
      </c>
      <c r="F20" s="6">
        <v>2017</v>
      </c>
      <c r="G20" s="6" t="s">
        <v>180</v>
      </c>
      <c r="H20" s="6" t="s">
        <v>28</v>
      </c>
      <c r="I20" s="6" t="s">
        <v>181</v>
      </c>
      <c r="J20" s="6"/>
      <c r="K20" s="6" t="s">
        <v>182</v>
      </c>
      <c r="L20" s="6" t="s">
        <v>183</v>
      </c>
      <c r="M20" s="6">
        <v>60</v>
      </c>
      <c r="N20" s="6" t="s">
        <v>47</v>
      </c>
      <c r="O20" s="6" t="s">
        <v>184</v>
      </c>
      <c r="P20" s="6" t="s">
        <v>37</v>
      </c>
      <c r="Q20" s="7"/>
      <c r="R20" s="7"/>
      <c r="S20" s="7"/>
      <c r="T20" s="7" t="str">
        <f t="shared" si="0"/>
        <v/>
      </c>
      <c r="U20" s="6" t="s">
        <v>38</v>
      </c>
      <c r="V20" s="6" t="s">
        <v>185</v>
      </c>
      <c r="W20" s="7"/>
      <c r="X20" s="7"/>
      <c r="Y20" s="7"/>
      <c r="Z20" s="7"/>
      <c r="AA20" s="7"/>
      <c r="AB20" s="6" t="s">
        <v>40</v>
      </c>
    </row>
    <row r="21" ht="26.4" customHeight="1" spans="1:28">
      <c r="A21" s="8" t="s">
        <v>186</v>
      </c>
      <c r="B21" s="9" t="s">
        <v>28</v>
      </c>
      <c r="C21" s="10">
        <v>345469</v>
      </c>
      <c r="D21" s="11">
        <v>339</v>
      </c>
      <c r="E21" s="6" t="s">
        <v>29</v>
      </c>
      <c r="F21" s="6">
        <v>2014</v>
      </c>
      <c r="G21" s="6" t="s">
        <v>53</v>
      </c>
      <c r="H21" s="6" t="s">
        <v>28</v>
      </c>
      <c r="I21" s="6" t="s">
        <v>187</v>
      </c>
      <c r="J21" s="6" t="s">
        <v>188</v>
      </c>
      <c r="K21" s="6" t="s">
        <v>189</v>
      </c>
      <c r="L21" s="6" t="s">
        <v>190</v>
      </c>
      <c r="M21" s="6">
        <v>50</v>
      </c>
      <c r="N21" s="6" t="s">
        <v>35</v>
      </c>
      <c r="O21" s="6" t="s">
        <v>191</v>
      </c>
      <c r="P21" s="6" t="s">
        <v>37</v>
      </c>
      <c r="Q21" s="7"/>
      <c r="R21" s="7"/>
      <c r="S21" s="7"/>
      <c r="T21" s="7" t="str">
        <f t="shared" si="0"/>
        <v/>
      </c>
      <c r="U21" s="6" t="s">
        <v>38</v>
      </c>
      <c r="V21" s="6" t="s">
        <v>39</v>
      </c>
      <c r="W21" s="7"/>
      <c r="X21" s="7"/>
      <c r="Y21" s="7"/>
      <c r="Z21" s="7"/>
      <c r="AA21" s="7"/>
      <c r="AB21" s="6" t="s">
        <v>40</v>
      </c>
    </row>
    <row r="22" ht="26.4" customHeight="1" spans="1:28">
      <c r="A22" s="2" t="s">
        <v>192</v>
      </c>
      <c r="B22" s="3" t="s">
        <v>28</v>
      </c>
      <c r="C22" s="4">
        <v>422771</v>
      </c>
      <c r="D22" s="5">
        <v>308</v>
      </c>
      <c r="E22" s="6" t="s">
        <v>29</v>
      </c>
      <c r="F22" s="6">
        <v>2023</v>
      </c>
      <c r="G22" s="6" t="s">
        <v>53</v>
      </c>
      <c r="H22" s="6" t="s">
        <v>28</v>
      </c>
      <c r="I22" s="6" t="s">
        <v>193</v>
      </c>
      <c r="J22" s="6" t="s">
        <v>194</v>
      </c>
      <c r="K22" s="6" t="s">
        <v>195</v>
      </c>
      <c r="L22" s="6" t="s">
        <v>196</v>
      </c>
      <c r="M22" s="6">
        <v>60</v>
      </c>
      <c r="N22" s="6" t="s">
        <v>35</v>
      </c>
      <c r="O22" s="6" t="s">
        <v>197</v>
      </c>
      <c r="P22" s="6"/>
      <c r="Q22" s="7"/>
      <c r="R22" s="7"/>
      <c r="S22" s="7"/>
      <c r="T22" s="7" t="str">
        <f t="shared" si="0"/>
        <v/>
      </c>
      <c r="U22" s="6" t="s">
        <v>38</v>
      </c>
      <c r="V22" s="6" t="s">
        <v>39</v>
      </c>
      <c r="W22" s="7"/>
      <c r="X22" s="7"/>
      <c r="Y22" s="7"/>
      <c r="Z22" s="7"/>
      <c r="AA22" s="7"/>
      <c r="AB22" s="6" t="s">
        <v>40</v>
      </c>
    </row>
    <row r="23" ht="26.4" customHeight="1" spans="1:28">
      <c r="A23" s="8" t="s">
        <v>198</v>
      </c>
      <c r="B23" s="9" t="s">
        <v>28</v>
      </c>
      <c r="C23" s="10">
        <v>521734</v>
      </c>
      <c r="D23" s="11">
        <v>275</v>
      </c>
      <c r="E23" s="6" t="s">
        <v>29</v>
      </c>
      <c r="F23" s="6">
        <v>1991</v>
      </c>
      <c r="G23" s="6" t="s">
        <v>199</v>
      </c>
      <c r="H23" s="6" t="s">
        <v>28</v>
      </c>
      <c r="I23" s="6" t="s">
        <v>200</v>
      </c>
      <c r="J23" s="6" t="s">
        <v>201</v>
      </c>
      <c r="K23" s="6" t="s">
        <v>202</v>
      </c>
      <c r="L23" s="6" t="s">
        <v>203</v>
      </c>
      <c r="M23" s="6">
        <v>100</v>
      </c>
      <c r="N23" s="6" t="s">
        <v>35</v>
      </c>
      <c r="O23" s="6"/>
      <c r="P23" s="6"/>
      <c r="Q23" s="7"/>
      <c r="R23" s="7"/>
      <c r="S23" s="7"/>
      <c r="T23" s="7" t="str">
        <f t="shared" si="0"/>
        <v/>
      </c>
      <c r="U23" s="6" t="s">
        <v>38</v>
      </c>
      <c r="V23" s="6" t="s">
        <v>204</v>
      </c>
      <c r="W23" s="7"/>
      <c r="X23" s="7"/>
      <c r="Y23" s="7"/>
      <c r="Z23" s="7"/>
      <c r="AA23" s="7"/>
      <c r="AB23" s="6" t="s">
        <v>40</v>
      </c>
    </row>
    <row r="24" ht="26.4" customHeight="1" spans="1:28">
      <c r="A24" s="2" t="s">
        <v>205</v>
      </c>
      <c r="B24" s="3" t="s">
        <v>28</v>
      </c>
      <c r="C24" s="4">
        <v>370925</v>
      </c>
      <c r="D24" s="5">
        <v>328</v>
      </c>
      <c r="E24" s="6" t="s">
        <v>29</v>
      </c>
      <c r="F24" s="6">
        <v>1996</v>
      </c>
      <c r="G24" s="6" t="s">
        <v>53</v>
      </c>
      <c r="H24" s="6" t="s">
        <v>28</v>
      </c>
      <c r="I24" s="6" t="s">
        <v>206</v>
      </c>
      <c r="J24" s="6"/>
      <c r="K24" s="6"/>
      <c r="L24" s="6"/>
      <c r="M24" s="6">
        <v>45</v>
      </c>
      <c r="N24" s="6" t="s">
        <v>35</v>
      </c>
      <c r="O24" s="6"/>
      <c r="P24" s="6"/>
      <c r="Q24" s="7">
        <v>250000</v>
      </c>
      <c r="R24" s="7">
        <v>0</v>
      </c>
      <c r="S24" s="7">
        <v>0</v>
      </c>
      <c r="T24" s="7">
        <f t="shared" si="0"/>
        <v>250000</v>
      </c>
      <c r="U24" s="6" t="s">
        <v>207</v>
      </c>
      <c r="V24" s="6" t="s">
        <v>208</v>
      </c>
      <c r="W24" s="7">
        <v>250000</v>
      </c>
      <c r="X24" s="7">
        <v>250000</v>
      </c>
      <c r="Y24" s="7">
        <v>250000</v>
      </c>
      <c r="Z24" s="7">
        <v>250000</v>
      </c>
      <c r="AA24" s="7">
        <v>250000</v>
      </c>
      <c r="AB24" s="6" t="s">
        <v>209</v>
      </c>
    </row>
    <row r="25" spans="1:28">
      <c r="A25" s="8" t="s">
        <v>210</v>
      </c>
      <c r="B25" s="9" t="s">
        <v>28</v>
      </c>
      <c r="C25" s="10">
        <v>217477</v>
      </c>
      <c r="D25" s="11">
        <v>397</v>
      </c>
      <c r="E25" s="6" t="s">
        <v>29</v>
      </c>
      <c r="F25" s="6">
        <v>1996</v>
      </c>
      <c r="G25" s="6" t="s">
        <v>153</v>
      </c>
      <c r="H25" s="6" t="s">
        <v>28</v>
      </c>
      <c r="I25" s="6" t="s">
        <v>211</v>
      </c>
      <c r="J25" s="6" t="s">
        <v>212</v>
      </c>
      <c r="K25" s="6" t="s">
        <v>213</v>
      </c>
      <c r="L25" s="6" t="s">
        <v>214</v>
      </c>
      <c r="M25" s="6">
        <v>100</v>
      </c>
      <c r="N25" s="6" t="s">
        <v>47</v>
      </c>
      <c r="O25" s="6" t="s">
        <v>215</v>
      </c>
      <c r="P25" s="6"/>
      <c r="Q25" s="7"/>
      <c r="R25" s="7"/>
      <c r="S25" s="7"/>
      <c r="T25" s="7" t="str">
        <f t="shared" si="0"/>
        <v/>
      </c>
      <c r="U25" s="6" t="s">
        <v>38</v>
      </c>
      <c r="V25" s="6" t="s">
        <v>216</v>
      </c>
      <c r="W25" s="7"/>
      <c r="X25" s="7"/>
      <c r="Y25" s="7"/>
      <c r="Z25" s="7"/>
      <c r="AA25" s="7"/>
      <c r="AB25" s="6" t="s">
        <v>40</v>
      </c>
    </row>
    <row r="26" ht="26.4" customHeight="1" spans="1:28">
      <c r="A26" s="2" t="s">
        <v>217</v>
      </c>
      <c r="B26" s="3" t="s">
        <v>28</v>
      </c>
      <c r="C26" s="4">
        <v>513998</v>
      </c>
      <c r="D26" s="5">
        <v>277</v>
      </c>
      <c r="E26" s="6" t="s">
        <v>29</v>
      </c>
      <c r="F26" s="6">
        <v>2016</v>
      </c>
      <c r="G26" s="6" t="s">
        <v>118</v>
      </c>
      <c r="H26" s="6" t="s">
        <v>28</v>
      </c>
      <c r="I26" s="6" t="s">
        <v>218</v>
      </c>
      <c r="J26" s="6" t="s">
        <v>219</v>
      </c>
      <c r="K26" s="6" t="s">
        <v>220</v>
      </c>
      <c r="L26" s="6" t="s">
        <v>221</v>
      </c>
      <c r="M26" s="6">
        <v>60</v>
      </c>
      <c r="N26" s="6" t="s">
        <v>35</v>
      </c>
      <c r="O26" s="6"/>
      <c r="P26" s="6"/>
      <c r="Q26" s="7"/>
      <c r="R26" s="7"/>
      <c r="S26" s="7"/>
      <c r="T26" s="7" t="str">
        <f t="shared" si="0"/>
        <v/>
      </c>
      <c r="U26" s="6" t="s">
        <v>222</v>
      </c>
      <c r="V26" s="6" t="s">
        <v>223</v>
      </c>
      <c r="W26" s="7"/>
      <c r="X26" s="7"/>
      <c r="Y26" s="7"/>
      <c r="Z26" s="7"/>
      <c r="AA26" s="7"/>
      <c r="AB26" s="6" t="s">
        <v>40</v>
      </c>
    </row>
    <row r="27" ht="26.4" customHeight="1" spans="1:28">
      <c r="A27" s="8" t="s">
        <v>224</v>
      </c>
      <c r="B27" s="9" t="s">
        <v>28</v>
      </c>
      <c r="C27" s="10"/>
      <c r="D27" s="11"/>
      <c r="E27" s="6" t="s">
        <v>29</v>
      </c>
      <c r="F27" s="6">
        <v>1979</v>
      </c>
      <c r="G27" s="6" t="s">
        <v>225</v>
      </c>
      <c r="H27" s="6" t="s">
        <v>28</v>
      </c>
      <c r="I27" s="6" t="s">
        <v>226</v>
      </c>
      <c r="J27" s="6"/>
      <c r="K27" s="6"/>
      <c r="L27" s="6"/>
      <c r="M27" s="6">
        <v>60</v>
      </c>
      <c r="N27" s="6" t="s">
        <v>227</v>
      </c>
      <c r="O27" s="6"/>
      <c r="P27" s="6"/>
      <c r="Q27" s="7"/>
      <c r="R27" s="7"/>
      <c r="S27" s="7"/>
      <c r="T27" s="7" t="str">
        <f t="shared" si="0"/>
        <v/>
      </c>
      <c r="U27" s="6" t="s">
        <v>38</v>
      </c>
      <c r="V27" s="6" t="s">
        <v>228</v>
      </c>
      <c r="W27" s="7"/>
      <c r="X27" s="7"/>
      <c r="Y27" s="7"/>
      <c r="Z27" s="7"/>
      <c r="AA27" s="7"/>
      <c r="AB27" s="6" t="s">
        <v>40</v>
      </c>
    </row>
    <row r="28" spans="1:28">
      <c r="A28" s="2" t="s">
        <v>229</v>
      </c>
      <c r="B28" s="3" t="s">
        <v>28</v>
      </c>
      <c r="C28" s="4">
        <v>453870</v>
      </c>
      <c r="D28" s="5">
        <v>297</v>
      </c>
      <c r="E28" s="6" t="s">
        <v>29</v>
      </c>
      <c r="F28" s="6">
        <v>1996</v>
      </c>
      <c r="G28" s="6" t="s">
        <v>230</v>
      </c>
      <c r="H28" s="6" t="s">
        <v>28</v>
      </c>
      <c r="I28" s="6" t="s">
        <v>231</v>
      </c>
      <c r="J28" s="6" t="s">
        <v>232</v>
      </c>
      <c r="K28" s="6" t="s">
        <v>233</v>
      </c>
      <c r="L28" s="6" t="s">
        <v>234</v>
      </c>
      <c r="M28" s="6">
        <v>100</v>
      </c>
      <c r="N28" s="6" t="s">
        <v>235</v>
      </c>
      <c r="O28" s="6" t="s">
        <v>236</v>
      </c>
      <c r="P28" s="6"/>
      <c r="Q28" s="7"/>
      <c r="R28" s="7"/>
      <c r="S28" s="7"/>
      <c r="T28" s="7" t="str">
        <f t="shared" si="0"/>
        <v/>
      </c>
      <c r="U28" s="6" t="s">
        <v>38</v>
      </c>
      <c r="V28" s="6" t="s">
        <v>237</v>
      </c>
      <c r="W28" s="7"/>
      <c r="X28" s="7"/>
      <c r="Y28" s="7"/>
      <c r="Z28" s="7"/>
      <c r="AA28" s="7"/>
      <c r="AB28" s="6" t="s">
        <v>40</v>
      </c>
    </row>
    <row r="29" ht="26.4" customHeight="1" spans="1:28">
      <c r="A29" s="8" t="s">
        <v>238</v>
      </c>
      <c r="B29" s="9" t="s">
        <v>28</v>
      </c>
      <c r="C29" s="10">
        <v>561223</v>
      </c>
      <c r="D29" s="11">
        <v>263</v>
      </c>
      <c r="E29" s="6" t="s">
        <v>29</v>
      </c>
      <c r="F29" s="6">
        <v>1996</v>
      </c>
      <c r="G29" s="6" t="s">
        <v>239</v>
      </c>
      <c r="H29" s="6" t="s">
        <v>28</v>
      </c>
      <c r="I29" s="6" t="s">
        <v>240</v>
      </c>
      <c r="J29" s="6" t="s">
        <v>241</v>
      </c>
      <c r="K29" s="6" t="s">
        <v>242</v>
      </c>
      <c r="L29" s="6" t="s">
        <v>243</v>
      </c>
      <c r="M29" s="6">
        <v>60</v>
      </c>
      <c r="N29" s="6" t="s">
        <v>35</v>
      </c>
      <c r="O29" s="6" t="s">
        <v>244</v>
      </c>
      <c r="P29" s="6" t="s">
        <v>37</v>
      </c>
      <c r="Q29" s="7">
        <v>340875</v>
      </c>
      <c r="R29" s="7">
        <v>0</v>
      </c>
      <c r="S29" s="7">
        <v>0</v>
      </c>
      <c r="T29" s="7">
        <f t="shared" si="0"/>
        <v>340875</v>
      </c>
      <c r="U29" s="6" t="s">
        <v>245</v>
      </c>
      <c r="V29" s="6" t="s">
        <v>246</v>
      </c>
      <c r="W29" s="7">
        <v>340875</v>
      </c>
      <c r="X29" s="7">
        <v>340875</v>
      </c>
      <c r="Y29" s="7">
        <v>340875</v>
      </c>
      <c r="Z29" s="7">
        <v>340875</v>
      </c>
      <c r="AA29" s="7">
        <v>340875</v>
      </c>
      <c r="AB29" s="6" t="s">
        <v>247</v>
      </c>
    </row>
    <row r="30" ht="26.4" customHeight="1" spans="1:28">
      <c r="A30" s="2" t="s">
        <v>248</v>
      </c>
      <c r="B30" s="3" t="s">
        <v>28</v>
      </c>
      <c r="C30" s="4">
        <v>523018</v>
      </c>
      <c r="D30" s="5">
        <v>274</v>
      </c>
      <c r="E30" s="6" t="s">
        <v>29</v>
      </c>
      <c r="F30" s="6">
        <v>1997</v>
      </c>
      <c r="G30" s="6" t="s">
        <v>180</v>
      </c>
      <c r="H30" s="6" t="s">
        <v>28</v>
      </c>
      <c r="I30" s="6" t="s">
        <v>249</v>
      </c>
      <c r="J30" s="6"/>
      <c r="K30" s="6"/>
      <c r="L30" s="6" t="s">
        <v>250</v>
      </c>
      <c r="M30" s="6">
        <v>40</v>
      </c>
      <c r="N30" s="6" t="s">
        <v>35</v>
      </c>
      <c r="O30" s="6" t="s">
        <v>251</v>
      </c>
      <c r="P30" s="6" t="s">
        <v>37</v>
      </c>
      <c r="Q30" s="7"/>
      <c r="R30" s="7"/>
      <c r="S30" s="7"/>
      <c r="T30" s="7" t="str">
        <f t="shared" si="0"/>
        <v/>
      </c>
      <c r="U30" s="6" t="s">
        <v>38</v>
      </c>
      <c r="V30" s="6" t="s">
        <v>252</v>
      </c>
      <c r="W30" s="7"/>
      <c r="X30" s="7"/>
      <c r="Y30" s="7"/>
      <c r="Z30" s="7"/>
      <c r="AA30" s="7"/>
      <c r="AB30" s="6" t="s">
        <v>40</v>
      </c>
    </row>
    <row r="31" ht="26.4" customHeight="1" spans="1:28">
      <c r="A31" s="8" t="s">
        <v>253</v>
      </c>
      <c r="B31" s="9" t="s">
        <v>28</v>
      </c>
      <c r="C31" s="10">
        <v>553216</v>
      </c>
      <c r="D31" s="11">
        <v>265</v>
      </c>
      <c r="E31" s="6" t="s">
        <v>29</v>
      </c>
      <c r="F31" s="6">
        <v>2017</v>
      </c>
      <c r="G31" s="6" t="s">
        <v>254</v>
      </c>
      <c r="H31" s="6" t="s">
        <v>28</v>
      </c>
      <c r="I31" s="6" t="s">
        <v>255</v>
      </c>
      <c r="J31" s="6"/>
      <c r="K31" s="6"/>
      <c r="L31" s="6"/>
      <c r="M31" s="6">
        <v>60</v>
      </c>
      <c r="N31" s="6" t="s">
        <v>35</v>
      </c>
      <c r="O31" s="6" t="s">
        <v>256</v>
      </c>
      <c r="P31" s="6"/>
      <c r="Q31" s="7"/>
      <c r="R31" s="7"/>
      <c r="S31" s="7"/>
      <c r="T31" s="7" t="str">
        <f t="shared" si="0"/>
        <v/>
      </c>
      <c r="U31" s="6" t="s">
        <v>38</v>
      </c>
      <c r="V31" s="6" t="s">
        <v>257</v>
      </c>
      <c r="W31" s="7"/>
      <c r="X31" s="7"/>
      <c r="Y31" s="7"/>
      <c r="Z31" s="7"/>
      <c r="AA31" s="7"/>
      <c r="AB31" s="6" t="s">
        <v>40</v>
      </c>
    </row>
    <row r="32" ht="26.4" customHeight="1" spans="1:28">
      <c r="A32" s="2" t="s">
        <v>258</v>
      </c>
      <c r="B32" s="3" t="s">
        <v>28</v>
      </c>
      <c r="C32" s="4">
        <v>508292</v>
      </c>
      <c r="D32" s="5">
        <v>279</v>
      </c>
      <c r="E32" s="6" t="s">
        <v>29</v>
      </c>
      <c r="F32" s="6">
        <v>2002</v>
      </c>
      <c r="G32" s="6" t="s">
        <v>259</v>
      </c>
      <c r="H32" s="6" t="s">
        <v>28</v>
      </c>
      <c r="I32" s="6" t="s">
        <v>260</v>
      </c>
      <c r="J32" s="6" t="s">
        <v>261</v>
      </c>
      <c r="K32" s="6" t="s">
        <v>262</v>
      </c>
      <c r="L32" s="6" t="s">
        <v>263</v>
      </c>
      <c r="M32" s="6"/>
      <c r="N32" s="6" t="s">
        <v>47</v>
      </c>
      <c r="O32" s="6" t="s">
        <v>264</v>
      </c>
      <c r="P32" s="6" t="s">
        <v>37</v>
      </c>
      <c r="Q32" s="7"/>
      <c r="R32" s="7"/>
      <c r="S32" s="7"/>
      <c r="T32" s="7" t="str">
        <f t="shared" si="0"/>
        <v/>
      </c>
      <c r="U32" s="6" t="s">
        <v>38</v>
      </c>
      <c r="V32" s="6" t="s">
        <v>39</v>
      </c>
      <c r="W32" s="7"/>
      <c r="X32" s="7"/>
      <c r="Y32" s="7"/>
      <c r="Z32" s="7"/>
      <c r="AA32" s="7"/>
      <c r="AB32" s="6" t="s">
        <v>40</v>
      </c>
    </row>
    <row r="33" ht="39.6" customHeight="1" spans="1:28">
      <c r="A33" s="8" t="s">
        <v>265</v>
      </c>
      <c r="B33" s="9" t="s">
        <v>28</v>
      </c>
      <c r="C33" s="10">
        <v>318882</v>
      </c>
      <c r="D33" s="11">
        <v>350</v>
      </c>
      <c r="E33" s="6" t="s">
        <v>266</v>
      </c>
      <c r="F33" s="6">
        <v>2017</v>
      </c>
      <c r="G33" s="6" t="s">
        <v>118</v>
      </c>
      <c r="H33" s="6" t="s">
        <v>28</v>
      </c>
      <c r="I33" s="6" t="s">
        <v>267</v>
      </c>
      <c r="J33" s="6"/>
      <c r="K33" s="6"/>
      <c r="L33" s="6" t="s">
        <v>268</v>
      </c>
      <c r="M33" s="6">
        <v>60</v>
      </c>
      <c r="N33" s="6" t="s">
        <v>35</v>
      </c>
      <c r="O33" s="6"/>
      <c r="P33" s="6"/>
      <c r="Q33" s="7"/>
      <c r="R33" s="7"/>
      <c r="S33" s="7"/>
      <c r="T33" s="7" t="str">
        <f t="shared" si="0"/>
        <v/>
      </c>
      <c r="U33" s="6" t="s">
        <v>269</v>
      </c>
      <c r="V33" s="6" t="s">
        <v>270</v>
      </c>
      <c r="W33" s="7"/>
      <c r="X33" s="7"/>
      <c r="Y33" s="7"/>
      <c r="Z33" s="7"/>
      <c r="AA33" s="7"/>
      <c r="AB33" s="6" t="s">
        <v>40</v>
      </c>
    </row>
    <row r="34" ht="26.4" customHeight="1" spans="1:28">
      <c r="A34" s="2" t="s">
        <v>271</v>
      </c>
      <c r="B34" s="3" t="s">
        <v>28</v>
      </c>
      <c r="C34" s="4">
        <v>350319</v>
      </c>
      <c r="D34" s="5">
        <v>337</v>
      </c>
      <c r="E34" s="6" t="s">
        <v>29</v>
      </c>
      <c r="F34" s="6"/>
      <c r="G34" s="6" t="s">
        <v>272</v>
      </c>
      <c r="H34" s="6" t="s">
        <v>28</v>
      </c>
      <c r="I34" s="6" t="s">
        <v>273</v>
      </c>
      <c r="J34" s="6" t="s">
        <v>274</v>
      </c>
      <c r="K34" s="6" t="s">
        <v>275</v>
      </c>
      <c r="L34" s="6" t="s">
        <v>276</v>
      </c>
      <c r="M34" s="6">
        <v>100</v>
      </c>
      <c r="N34" s="6" t="s">
        <v>35</v>
      </c>
      <c r="O34" s="6" t="s">
        <v>277</v>
      </c>
      <c r="P34" s="6" t="s">
        <v>37</v>
      </c>
      <c r="Q34" s="7"/>
      <c r="R34" s="7"/>
      <c r="S34" s="7"/>
      <c r="T34" s="7" t="str">
        <f t="shared" si="0"/>
        <v/>
      </c>
      <c r="U34" s="6" t="s">
        <v>38</v>
      </c>
      <c r="V34" s="6" t="s">
        <v>278</v>
      </c>
      <c r="W34" s="7"/>
      <c r="X34" s="7"/>
      <c r="Y34" s="7"/>
      <c r="Z34" s="7"/>
      <c r="AA34" s="7"/>
      <c r="AB34" s="6" t="s">
        <v>40</v>
      </c>
    </row>
    <row r="35" ht="26.4" customHeight="1" spans="1:28">
      <c r="A35" s="8" t="s">
        <v>279</v>
      </c>
      <c r="B35" s="9" t="s">
        <v>28</v>
      </c>
      <c r="C35" s="10">
        <v>412047</v>
      </c>
      <c r="D35" s="11">
        <v>312</v>
      </c>
      <c r="E35" s="6" t="s">
        <v>29</v>
      </c>
      <c r="F35" s="6">
        <v>2016</v>
      </c>
      <c r="G35" s="6" t="s">
        <v>53</v>
      </c>
      <c r="H35" s="6" t="s">
        <v>28</v>
      </c>
      <c r="I35" s="6" t="s">
        <v>280</v>
      </c>
      <c r="J35" s="6" t="s">
        <v>281</v>
      </c>
      <c r="K35" s="6" t="s">
        <v>282</v>
      </c>
      <c r="L35" s="6" t="s">
        <v>283</v>
      </c>
      <c r="M35" s="6">
        <v>60</v>
      </c>
      <c r="N35" s="6" t="s">
        <v>35</v>
      </c>
      <c r="O35" s="6" t="s">
        <v>284</v>
      </c>
      <c r="P35" s="6"/>
      <c r="Q35" s="7"/>
      <c r="R35" s="7"/>
      <c r="S35" s="7"/>
      <c r="T35" s="7" t="str">
        <f t="shared" si="0"/>
        <v/>
      </c>
      <c r="U35" s="6" t="s">
        <v>38</v>
      </c>
      <c r="V35" s="6" t="s">
        <v>285</v>
      </c>
      <c r="W35" s="7"/>
      <c r="X35" s="7"/>
      <c r="Y35" s="7"/>
      <c r="Z35" s="7"/>
      <c r="AA35" s="7"/>
      <c r="AB35" s="6" t="s">
        <v>40</v>
      </c>
    </row>
    <row r="36" ht="26.4" customHeight="1" spans="1:28">
      <c r="A36" s="2" t="s">
        <v>286</v>
      </c>
      <c r="B36" s="3" t="s">
        <v>28</v>
      </c>
      <c r="C36" s="4">
        <v>573892</v>
      </c>
      <c r="D36" s="5">
        <v>259</v>
      </c>
      <c r="E36" s="6" t="s">
        <v>29</v>
      </c>
      <c r="F36" s="6">
        <v>1987</v>
      </c>
      <c r="G36" s="6" t="s">
        <v>287</v>
      </c>
      <c r="H36" s="6" t="s">
        <v>28</v>
      </c>
      <c r="I36" s="6" t="s">
        <v>288</v>
      </c>
      <c r="J36" s="6" t="s">
        <v>289</v>
      </c>
      <c r="K36" s="6" t="s">
        <v>290</v>
      </c>
      <c r="L36" s="6" t="s">
        <v>291</v>
      </c>
      <c r="M36" s="6">
        <v>100</v>
      </c>
      <c r="N36" s="6" t="s">
        <v>35</v>
      </c>
      <c r="O36" s="6" t="s">
        <v>292</v>
      </c>
      <c r="P36" s="6" t="s">
        <v>37</v>
      </c>
      <c r="Q36" s="7"/>
      <c r="R36" s="7"/>
      <c r="S36" s="7"/>
      <c r="T36" s="7" t="str">
        <f t="shared" si="0"/>
        <v/>
      </c>
      <c r="U36" s="6" t="s">
        <v>293</v>
      </c>
      <c r="V36" s="6" t="s">
        <v>294</v>
      </c>
      <c r="W36" s="7"/>
      <c r="X36" s="7"/>
      <c r="Y36" s="7"/>
      <c r="Z36" s="7"/>
      <c r="AA36" s="7"/>
      <c r="AB36" s="6" t="s">
        <v>295</v>
      </c>
    </row>
    <row r="37" ht="26.4" customHeight="1" spans="1:28">
      <c r="A37" s="8" t="s">
        <v>296</v>
      </c>
      <c r="B37" s="9" t="s">
        <v>28</v>
      </c>
      <c r="C37" s="10">
        <v>504760</v>
      </c>
      <c r="D37" s="11">
        <v>280</v>
      </c>
      <c r="E37" s="6" t="s">
        <v>29</v>
      </c>
      <c r="F37" s="6">
        <v>1951</v>
      </c>
      <c r="G37" s="6" t="s">
        <v>297</v>
      </c>
      <c r="H37" s="6" t="s">
        <v>28</v>
      </c>
      <c r="I37" s="6" t="s">
        <v>298</v>
      </c>
      <c r="J37" s="6" t="s">
        <v>299</v>
      </c>
      <c r="K37" s="6" t="s">
        <v>300</v>
      </c>
      <c r="L37" s="6" t="s">
        <v>301</v>
      </c>
      <c r="M37" s="6">
        <v>60</v>
      </c>
      <c r="N37" s="6" t="s">
        <v>302</v>
      </c>
      <c r="O37" s="6" t="s">
        <v>292</v>
      </c>
      <c r="P37" s="6" t="s">
        <v>37</v>
      </c>
      <c r="Q37" s="7"/>
      <c r="R37" s="7"/>
      <c r="S37" s="7"/>
      <c r="T37" s="7" t="str">
        <f t="shared" si="0"/>
        <v/>
      </c>
      <c r="U37" s="6" t="s">
        <v>293</v>
      </c>
      <c r="V37" s="6" t="s">
        <v>303</v>
      </c>
      <c r="W37" s="7"/>
      <c r="X37" s="7"/>
      <c r="Y37" s="7"/>
      <c r="Z37" s="7"/>
      <c r="AA37" s="7"/>
      <c r="AB37" s="6" t="s">
        <v>295</v>
      </c>
    </row>
    <row r="38" ht="26.4" customHeight="1" spans="1:28">
      <c r="A38" s="2" t="s">
        <v>304</v>
      </c>
      <c r="B38" s="3" t="s">
        <v>28</v>
      </c>
      <c r="C38" s="4">
        <v>440773</v>
      </c>
      <c r="D38" s="5">
        <v>302</v>
      </c>
      <c r="E38" s="6" t="s">
        <v>29</v>
      </c>
      <c r="F38" s="6">
        <v>1992</v>
      </c>
      <c r="G38" s="6" t="s">
        <v>160</v>
      </c>
      <c r="H38" s="6" t="s">
        <v>28</v>
      </c>
      <c r="I38" s="6" t="s">
        <v>305</v>
      </c>
      <c r="J38" s="6" t="s">
        <v>306</v>
      </c>
      <c r="K38" s="6" t="s">
        <v>307</v>
      </c>
      <c r="L38" s="6" t="s">
        <v>308</v>
      </c>
      <c r="M38" s="6">
        <v>60</v>
      </c>
      <c r="N38" s="6" t="s">
        <v>35</v>
      </c>
      <c r="O38" s="6" t="s">
        <v>292</v>
      </c>
      <c r="P38" s="6" t="s">
        <v>37</v>
      </c>
      <c r="Q38" s="7">
        <v>200500</v>
      </c>
      <c r="R38" s="7">
        <v>0</v>
      </c>
      <c r="S38" s="7">
        <v>0</v>
      </c>
      <c r="T38" s="7">
        <f t="shared" si="0"/>
        <v>200500</v>
      </c>
      <c r="U38" s="6" t="s">
        <v>293</v>
      </c>
      <c r="V38" s="6" t="s">
        <v>309</v>
      </c>
      <c r="W38" s="7">
        <v>200500</v>
      </c>
      <c r="X38" s="7">
        <v>200500</v>
      </c>
      <c r="Y38" s="7">
        <v>200500</v>
      </c>
      <c r="Z38" s="7">
        <v>200500</v>
      </c>
      <c r="AA38" s="7">
        <v>200500</v>
      </c>
      <c r="AB38" s="6" t="s">
        <v>295</v>
      </c>
    </row>
    <row r="39" ht="26.4" customHeight="1" spans="1:28">
      <c r="A39" s="8" t="s">
        <v>310</v>
      </c>
      <c r="B39" s="9" t="s">
        <v>28</v>
      </c>
      <c r="C39" s="10">
        <v>388420</v>
      </c>
      <c r="D39" s="11">
        <v>321</v>
      </c>
      <c r="E39" s="6" t="s">
        <v>29</v>
      </c>
      <c r="F39" s="6">
        <v>2024</v>
      </c>
      <c r="G39" s="6" t="s">
        <v>311</v>
      </c>
      <c r="H39" s="6" t="s">
        <v>28</v>
      </c>
      <c r="I39" s="6" t="s">
        <v>312</v>
      </c>
      <c r="J39" s="6"/>
      <c r="K39" s="6"/>
      <c r="L39" s="6"/>
      <c r="M39" s="6">
        <v>60</v>
      </c>
      <c r="N39" s="6" t="s">
        <v>35</v>
      </c>
      <c r="O39" s="6" t="s">
        <v>292</v>
      </c>
      <c r="P39" s="6" t="s">
        <v>37</v>
      </c>
      <c r="Q39" s="7"/>
      <c r="R39" s="7"/>
      <c r="S39" s="7"/>
      <c r="T39" s="7" t="str">
        <f t="shared" si="0"/>
        <v/>
      </c>
      <c r="U39" s="6" t="s">
        <v>293</v>
      </c>
      <c r="V39" s="6" t="s">
        <v>313</v>
      </c>
      <c r="W39" s="7"/>
      <c r="X39" s="7"/>
      <c r="Y39" s="7"/>
      <c r="Z39" s="7"/>
      <c r="AA39" s="7"/>
      <c r="AB39" s="6" t="s">
        <v>295</v>
      </c>
    </row>
    <row r="40" ht="26.4" customHeight="1" spans="1:28">
      <c r="A40" s="2" t="s">
        <v>314</v>
      </c>
      <c r="B40" s="3" t="s">
        <v>28</v>
      </c>
      <c r="C40" s="4">
        <v>451279</v>
      </c>
      <c r="D40" s="5">
        <v>298</v>
      </c>
      <c r="E40" s="6" t="s">
        <v>29</v>
      </c>
      <c r="F40" s="6">
        <v>2020</v>
      </c>
      <c r="G40" s="6" t="s">
        <v>315</v>
      </c>
      <c r="H40" s="6" t="s">
        <v>28</v>
      </c>
      <c r="I40" s="6" t="s">
        <v>316</v>
      </c>
      <c r="J40" s="6" t="s">
        <v>317</v>
      </c>
      <c r="K40" s="6"/>
      <c r="L40" s="6"/>
      <c r="M40" s="6">
        <v>60</v>
      </c>
      <c r="N40" s="6" t="s">
        <v>35</v>
      </c>
      <c r="O40" s="6" t="s">
        <v>292</v>
      </c>
      <c r="P40" s="6" t="s">
        <v>37</v>
      </c>
      <c r="Q40" s="7">
        <v>250000</v>
      </c>
      <c r="R40" s="7">
        <v>0</v>
      </c>
      <c r="S40" s="7">
        <v>0</v>
      </c>
      <c r="T40" s="7">
        <f t="shared" si="0"/>
        <v>250000</v>
      </c>
      <c r="U40" s="6" t="s">
        <v>293</v>
      </c>
      <c r="V40" s="6" t="s">
        <v>318</v>
      </c>
      <c r="W40" s="7">
        <v>250000</v>
      </c>
      <c r="X40" s="7">
        <v>250000</v>
      </c>
      <c r="Y40" s="7">
        <v>250000</v>
      </c>
      <c r="Z40" s="7">
        <v>250000</v>
      </c>
      <c r="AA40" s="7">
        <v>250000</v>
      </c>
      <c r="AB40" s="6" t="s">
        <v>295</v>
      </c>
    </row>
    <row r="41" ht="26.4" customHeight="1" spans="1:28">
      <c r="A41" s="8" t="s">
        <v>319</v>
      </c>
      <c r="B41" s="9" t="s">
        <v>28</v>
      </c>
      <c r="C41" s="10">
        <v>407198</v>
      </c>
      <c r="D41" s="11">
        <v>314</v>
      </c>
      <c r="E41" s="6" t="s">
        <v>29</v>
      </c>
      <c r="F41" s="6">
        <v>1940</v>
      </c>
      <c r="G41" s="6" t="s">
        <v>320</v>
      </c>
      <c r="H41" s="6" t="s">
        <v>28</v>
      </c>
      <c r="I41" s="6" t="s">
        <v>321</v>
      </c>
      <c r="J41" s="6" t="s">
        <v>322</v>
      </c>
      <c r="K41" s="6" t="s">
        <v>323</v>
      </c>
      <c r="L41" s="6" t="s">
        <v>324</v>
      </c>
      <c r="M41" s="6">
        <v>100</v>
      </c>
      <c r="N41" s="6" t="s">
        <v>325</v>
      </c>
      <c r="O41" s="6" t="s">
        <v>326</v>
      </c>
      <c r="P41" s="6" t="s">
        <v>37</v>
      </c>
      <c r="Q41" s="7">
        <v>301500</v>
      </c>
      <c r="R41" s="7">
        <v>0</v>
      </c>
      <c r="S41" s="7">
        <v>0</v>
      </c>
      <c r="T41" s="7">
        <f t="shared" si="0"/>
        <v>301500</v>
      </c>
      <c r="U41" s="6" t="s">
        <v>327</v>
      </c>
      <c r="V41" s="6" t="s">
        <v>328</v>
      </c>
      <c r="W41" s="7">
        <v>301500</v>
      </c>
      <c r="X41" s="7">
        <v>301500</v>
      </c>
      <c r="Y41" s="7">
        <v>301500</v>
      </c>
      <c r="Z41" s="7">
        <v>301500</v>
      </c>
      <c r="AA41" s="7">
        <v>301500</v>
      </c>
      <c r="AB41" s="6" t="s">
        <v>329</v>
      </c>
    </row>
    <row r="42" ht="26.4" customHeight="1" spans="1:28">
      <c r="A42" s="2" t="s">
        <v>330</v>
      </c>
      <c r="B42" s="3" t="s">
        <v>28</v>
      </c>
      <c r="C42" s="4">
        <v>399472</v>
      </c>
      <c r="D42" s="5">
        <v>317</v>
      </c>
      <c r="E42" s="6" t="s">
        <v>29</v>
      </c>
      <c r="F42" s="6">
        <v>1991</v>
      </c>
      <c r="G42" s="6" t="s">
        <v>331</v>
      </c>
      <c r="H42" s="6" t="s">
        <v>28</v>
      </c>
      <c r="I42" s="6" t="s">
        <v>332</v>
      </c>
      <c r="J42" s="6" t="s">
        <v>333</v>
      </c>
      <c r="K42" s="6"/>
      <c r="L42" s="6" t="s">
        <v>334</v>
      </c>
      <c r="M42" s="6">
        <v>60</v>
      </c>
      <c r="N42" s="6" t="s">
        <v>335</v>
      </c>
      <c r="O42" s="6" t="s">
        <v>292</v>
      </c>
      <c r="P42" s="6" t="s">
        <v>37</v>
      </c>
      <c r="Q42" s="7">
        <v>200000</v>
      </c>
      <c r="R42" s="7">
        <v>0</v>
      </c>
      <c r="S42" s="7">
        <v>0</v>
      </c>
      <c r="T42" s="7">
        <f t="shared" si="0"/>
        <v>200000</v>
      </c>
      <c r="U42" s="6" t="s">
        <v>293</v>
      </c>
      <c r="V42" s="6" t="s">
        <v>336</v>
      </c>
      <c r="W42" s="7">
        <v>200000</v>
      </c>
      <c r="X42" s="7">
        <v>200000</v>
      </c>
      <c r="Y42" s="7">
        <v>200000</v>
      </c>
      <c r="Z42" s="7">
        <v>200000</v>
      </c>
      <c r="AA42" s="7">
        <v>200000</v>
      </c>
      <c r="AB42" s="6" t="s">
        <v>295</v>
      </c>
    </row>
    <row r="43" ht="26.4" customHeight="1" spans="1:28">
      <c r="A43" s="8" t="s">
        <v>337</v>
      </c>
      <c r="B43" s="9" t="s">
        <v>28</v>
      </c>
      <c r="C43" s="10">
        <v>572869</v>
      </c>
      <c r="D43" s="11">
        <v>259</v>
      </c>
      <c r="E43" s="6" t="s">
        <v>29</v>
      </c>
      <c r="F43" s="6">
        <v>2020</v>
      </c>
      <c r="G43" s="6" t="s">
        <v>338</v>
      </c>
      <c r="H43" s="6" t="s">
        <v>28</v>
      </c>
      <c r="I43" s="6" t="s">
        <v>339</v>
      </c>
      <c r="J43" s="6" t="s">
        <v>340</v>
      </c>
      <c r="K43" s="6" t="s">
        <v>341</v>
      </c>
      <c r="L43" s="6" t="s">
        <v>342</v>
      </c>
      <c r="M43" s="6">
        <v>60</v>
      </c>
      <c r="N43" s="6" t="s">
        <v>35</v>
      </c>
      <c r="O43" s="6" t="s">
        <v>343</v>
      </c>
      <c r="P43" s="6" t="s">
        <v>37</v>
      </c>
      <c r="Q43" s="7"/>
      <c r="R43" s="7"/>
      <c r="S43" s="7"/>
      <c r="T43" s="7" t="str">
        <f t="shared" si="0"/>
        <v/>
      </c>
      <c r="U43" s="6" t="s">
        <v>293</v>
      </c>
      <c r="V43" s="6" t="s">
        <v>344</v>
      </c>
      <c r="W43" s="7"/>
      <c r="X43" s="7"/>
      <c r="Y43" s="7"/>
      <c r="Z43" s="7"/>
      <c r="AA43" s="7"/>
      <c r="AB43" s="6" t="s">
        <v>295</v>
      </c>
    </row>
    <row r="44" ht="26.4" customHeight="1" spans="1:28">
      <c r="A44" s="2" t="s">
        <v>345</v>
      </c>
      <c r="B44" s="3" t="s">
        <v>28</v>
      </c>
      <c r="C44" s="4">
        <v>531618</v>
      </c>
      <c r="D44" s="5">
        <v>272</v>
      </c>
      <c r="E44" s="6" t="s">
        <v>29</v>
      </c>
      <c r="F44" s="6">
        <v>2022</v>
      </c>
      <c r="G44" s="6" t="s">
        <v>346</v>
      </c>
      <c r="H44" s="6" t="s">
        <v>28</v>
      </c>
      <c r="I44" s="6" t="s">
        <v>347</v>
      </c>
      <c r="J44" s="6" t="s">
        <v>348</v>
      </c>
      <c r="K44" s="6" t="s">
        <v>349</v>
      </c>
      <c r="L44" s="6" t="s">
        <v>350</v>
      </c>
      <c r="M44" s="6">
        <v>60</v>
      </c>
      <c r="N44" s="6" t="s">
        <v>35</v>
      </c>
      <c r="O44" s="6" t="s">
        <v>292</v>
      </c>
      <c r="P44" s="6" t="s">
        <v>37</v>
      </c>
      <c r="Q44" s="7">
        <v>400000</v>
      </c>
      <c r="R44" s="7">
        <v>0</v>
      </c>
      <c r="S44" s="7">
        <v>0</v>
      </c>
      <c r="T44" s="7">
        <f t="shared" si="0"/>
        <v>400000</v>
      </c>
      <c r="U44" s="6" t="s">
        <v>351</v>
      </c>
      <c r="V44" s="6" t="s">
        <v>352</v>
      </c>
      <c r="W44" s="7">
        <v>400000</v>
      </c>
      <c r="X44" s="7">
        <v>400000</v>
      </c>
      <c r="Y44" s="7">
        <v>400000</v>
      </c>
      <c r="Z44" s="7">
        <v>400000</v>
      </c>
      <c r="AA44" s="7">
        <v>400000</v>
      </c>
      <c r="AB44" s="6" t="s">
        <v>353</v>
      </c>
    </row>
    <row r="45" ht="26.4" customHeight="1" spans="1:28">
      <c r="A45" s="8" t="s">
        <v>354</v>
      </c>
      <c r="B45" s="9" t="s">
        <v>28</v>
      </c>
      <c r="C45" s="10">
        <v>544776</v>
      </c>
      <c r="D45" s="11">
        <v>268</v>
      </c>
      <c r="E45" s="6" t="s">
        <v>29</v>
      </c>
      <c r="F45" s="6">
        <v>2016</v>
      </c>
      <c r="G45" s="6" t="s">
        <v>78</v>
      </c>
      <c r="H45" s="6" t="s">
        <v>28</v>
      </c>
      <c r="I45" s="6" t="s">
        <v>355</v>
      </c>
      <c r="J45" s="6"/>
      <c r="K45" s="6"/>
      <c r="L45" s="6" t="s">
        <v>356</v>
      </c>
      <c r="M45" s="6">
        <v>60</v>
      </c>
      <c r="N45" s="6" t="s">
        <v>35</v>
      </c>
      <c r="O45" s="6" t="s">
        <v>357</v>
      </c>
      <c r="P45" s="6" t="s">
        <v>37</v>
      </c>
      <c r="Q45" s="7"/>
      <c r="R45" s="7"/>
      <c r="S45" s="7"/>
      <c r="T45" s="7" t="str">
        <f t="shared" si="0"/>
        <v/>
      </c>
      <c r="U45" s="6" t="s">
        <v>293</v>
      </c>
      <c r="V45" s="6" t="s">
        <v>358</v>
      </c>
      <c r="W45" s="7"/>
      <c r="X45" s="7"/>
      <c r="Y45" s="7"/>
      <c r="Z45" s="7"/>
      <c r="AA45" s="7"/>
      <c r="AB45" s="6" t="s">
        <v>295</v>
      </c>
    </row>
    <row r="46" ht="26.4" customHeight="1" spans="1:28">
      <c r="A46" s="2" t="s">
        <v>359</v>
      </c>
      <c r="B46" s="3" t="s">
        <v>28</v>
      </c>
      <c r="C46" s="4">
        <v>573251</v>
      </c>
      <c r="D46" s="5">
        <v>259</v>
      </c>
      <c r="E46" s="6" t="s">
        <v>29</v>
      </c>
      <c r="F46" s="6">
        <v>2016</v>
      </c>
      <c r="G46" s="6" t="s">
        <v>360</v>
      </c>
      <c r="H46" s="6" t="s">
        <v>28</v>
      </c>
      <c r="I46" s="6" t="s">
        <v>361</v>
      </c>
      <c r="J46" s="6" t="s">
        <v>362</v>
      </c>
      <c r="K46" s="6" t="s">
        <v>363</v>
      </c>
      <c r="L46" s="6" t="s">
        <v>364</v>
      </c>
      <c r="M46" s="6">
        <v>100</v>
      </c>
      <c r="N46" s="6" t="s">
        <v>35</v>
      </c>
      <c r="O46" s="6" t="s">
        <v>292</v>
      </c>
      <c r="P46" s="6" t="s">
        <v>37</v>
      </c>
      <c r="Q46" s="7">
        <v>200000</v>
      </c>
      <c r="R46" s="7">
        <v>0</v>
      </c>
      <c r="S46" s="7">
        <v>0</v>
      </c>
      <c r="T46" s="7">
        <f t="shared" si="0"/>
        <v>200000</v>
      </c>
      <c r="U46" s="6" t="s">
        <v>293</v>
      </c>
      <c r="V46" s="6" t="s">
        <v>365</v>
      </c>
      <c r="W46" s="7">
        <v>200000</v>
      </c>
      <c r="X46" s="7">
        <v>200000</v>
      </c>
      <c r="Y46" s="7">
        <v>200000</v>
      </c>
      <c r="Z46" s="7">
        <v>200000</v>
      </c>
      <c r="AA46" s="7">
        <v>200000</v>
      </c>
      <c r="AB46" s="6" t="s">
        <v>295</v>
      </c>
    </row>
    <row r="47" ht="26.4" customHeight="1" spans="1:28">
      <c r="A47" s="8" t="s">
        <v>366</v>
      </c>
      <c r="B47" s="9" t="s">
        <v>28</v>
      </c>
      <c r="C47" s="10">
        <v>490390</v>
      </c>
      <c r="D47" s="11">
        <v>285</v>
      </c>
      <c r="E47" s="6" t="s">
        <v>29</v>
      </c>
      <c r="F47" s="6"/>
      <c r="G47" s="6" t="s">
        <v>160</v>
      </c>
      <c r="H47" s="6" t="s">
        <v>28</v>
      </c>
      <c r="I47" s="6" t="s">
        <v>367</v>
      </c>
      <c r="J47" s="6" t="s">
        <v>368</v>
      </c>
      <c r="K47" s="6" t="s">
        <v>369</v>
      </c>
      <c r="L47" s="6" t="s">
        <v>370</v>
      </c>
      <c r="M47" s="6">
        <v>60</v>
      </c>
      <c r="N47" s="6" t="s">
        <v>35</v>
      </c>
      <c r="O47" s="6" t="s">
        <v>292</v>
      </c>
      <c r="P47" s="6" t="s">
        <v>37</v>
      </c>
      <c r="Q47" s="7"/>
      <c r="R47" s="7"/>
      <c r="S47" s="7"/>
      <c r="T47" s="7" t="str">
        <f t="shared" si="0"/>
        <v/>
      </c>
      <c r="U47" s="6" t="s">
        <v>293</v>
      </c>
      <c r="V47" s="6" t="s">
        <v>371</v>
      </c>
      <c r="W47" s="7"/>
      <c r="X47" s="7"/>
      <c r="Y47" s="7"/>
      <c r="Z47" s="7"/>
      <c r="AA47" s="7"/>
      <c r="AB47" s="6" t="s">
        <v>295</v>
      </c>
    </row>
    <row r="48" spans="1:28">
      <c r="A48" s="2" t="s">
        <v>372</v>
      </c>
      <c r="B48" s="3" t="s">
        <v>28</v>
      </c>
      <c r="C48" s="4">
        <v>498737</v>
      </c>
      <c r="D48" s="5">
        <v>282</v>
      </c>
      <c r="E48" s="6" t="s">
        <v>29</v>
      </c>
      <c r="F48" s="6">
        <v>2017</v>
      </c>
      <c r="G48" s="6" t="s">
        <v>199</v>
      </c>
      <c r="H48" s="6" t="s">
        <v>28</v>
      </c>
      <c r="I48" s="6" t="s">
        <v>373</v>
      </c>
      <c r="J48" s="6" t="s">
        <v>374</v>
      </c>
      <c r="K48" s="6" t="s">
        <v>375</v>
      </c>
      <c r="L48" s="6" t="s">
        <v>376</v>
      </c>
      <c r="M48" s="6">
        <v>60</v>
      </c>
      <c r="N48" s="6" t="s">
        <v>35</v>
      </c>
      <c r="O48" s="6" t="s">
        <v>292</v>
      </c>
      <c r="P48" s="6" t="s">
        <v>37</v>
      </c>
      <c r="Q48" s="7">
        <v>250000</v>
      </c>
      <c r="R48" s="7">
        <v>0</v>
      </c>
      <c r="S48" s="7">
        <v>0</v>
      </c>
      <c r="T48" s="7">
        <f t="shared" si="0"/>
        <v>250000</v>
      </c>
      <c r="U48" s="6" t="s">
        <v>293</v>
      </c>
      <c r="V48" s="6" t="s">
        <v>377</v>
      </c>
      <c r="W48" s="7">
        <v>250000</v>
      </c>
      <c r="X48" s="7">
        <v>250000</v>
      </c>
      <c r="Y48" s="7">
        <v>250000</v>
      </c>
      <c r="Z48" s="7">
        <v>250000</v>
      </c>
      <c r="AA48" s="7">
        <v>250000</v>
      </c>
      <c r="AB48" s="6" t="s">
        <v>295</v>
      </c>
    </row>
    <row r="49" ht="26.4" customHeight="1" spans="1:28">
      <c r="A49" s="8" t="s">
        <v>378</v>
      </c>
      <c r="B49" s="9" t="s">
        <v>28</v>
      </c>
      <c r="C49" s="10">
        <v>494682</v>
      </c>
      <c r="D49" s="11">
        <v>283</v>
      </c>
      <c r="E49" s="6" t="s">
        <v>29</v>
      </c>
      <c r="F49" s="6">
        <v>2020</v>
      </c>
      <c r="G49" s="6" t="s">
        <v>379</v>
      </c>
      <c r="H49" s="6" t="s">
        <v>28</v>
      </c>
      <c r="I49" s="6" t="s">
        <v>380</v>
      </c>
      <c r="J49" s="6" t="s">
        <v>381</v>
      </c>
      <c r="K49" s="6" t="s">
        <v>382</v>
      </c>
      <c r="L49" s="6" t="s">
        <v>383</v>
      </c>
      <c r="M49" s="6">
        <v>100</v>
      </c>
      <c r="N49" s="6" t="s">
        <v>35</v>
      </c>
      <c r="O49" s="6" t="s">
        <v>292</v>
      </c>
      <c r="P49" s="6" t="s">
        <v>37</v>
      </c>
      <c r="Q49" s="7"/>
      <c r="R49" s="7"/>
      <c r="S49" s="7"/>
      <c r="T49" s="7" t="str">
        <f t="shared" si="0"/>
        <v/>
      </c>
      <c r="U49" s="6" t="s">
        <v>293</v>
      </c>
      <c r="V49" s="6" t="s">
        <v>384</v>
      </c>
      <c r="W49" s="7"/>
      <c r="X49" s="7"/>
      <c r="Y49" s="7"/>
      <c r="Z49" s="7"/>
      <c r="AA49" s="7"/>
      <c r="AB49" s="6" t="s">
        <v>295</v>
      </c>
    </row>
    <row r="50" ht="26.4" customHeight="1" spans="1:28">
      <c r="A50" s="2" t="s">
        <v>385</v>
      </c>
      <c r="B50" s="3" t="s">
        <v>28</v>
      </c>
      <c r="C50" s="4">
        <v>361892</v>
      </c>
      <c r="D50" s="5">
        <v>332</v>
      </c>
      <c r="E50" s="6" t="s">
        <v>29</v>
      </c>
      <c r="F50" s="6">
        <v>2019</v>
      </c>
      <c r="G50" s="6" t="s">
        <v>386</v>
      </c>
      <c r="H50" s="6" t="s">
        <v>28</v>
      </c>
      <c r="I50" s="6" t="s">
        <v>387</v>
      </c>
      <c r="J50" s="6" t="s">
        <v>388</v>
      </c>
      <c r="K50" s="6" t="s">
        <v>389</v>
      </c>
      <c r="L50" s="6" t="s">
        <v>390</v>
      </c>
      <c r="M50" s="6">
        <v>60</v>
      </c>
      <c r="N50" s="6" t="s">
        <v>35</v>
      </c>
      <c r="O50" s="6" t="s">
        <v>292</v>
      </c>
      <c r="P50" s="6" t="s">
        <v>37</v>
      </c>
      <c r="Q50" s="7"/>
      <c r="R50" s="7"/>
      <c r="S50" s="7"/>
      <c r="T50" s="7" t="str">
        <f t="shared" si="0"/>
        <v/>
      </c>
      <c r="U50" s="6" t="s">
        <v>293</v>
      </c>
      <c r="V50" s="6" t="s">
        <v>391</v>
      </c>
      <c r="W50" s="7"/>
      <c r="X50" s="7"/>
      <c r="Y50" s="7"/>
      <c r="Z50" s="7"/>
      <c r="AA50" s="7"/>
      <c r="AB50" s="6" t="s">
        <v>295</v>
      </c>
    </row>
    <row r="51" ht="26.4" customHeight="1" spans="1:28">
      <c r="A51" s="8" t="s">
        <v>392</v>
      </c>
      <c r="B51" s="9" t="s">
        <v>28</v>
      </c>
      <c r="C51" s="10">
        <v>449125</v>
      </c>
      <c r="D51" s="11">
        <v>299</v>
      </c>
      <c r="E51" s="6" t="s">
        <v>29</v>
      </c>
      <c r="F51" s="6">
        <v>1993</v>
      </c>
      <c r="G51" s="6" t="s">
        <v>393</v>
      </c>
      <c r="H51" s="6" t="s">
        <v>28</v>
      </c>
      <c r="I51" s="6" t="s">
        <v>394</v>
      </c>
      <c r="J51" s="6" t="s">
        <v>395</v>
      </c>
      <c r="K51" s="6" t="s">
        <v>396</v>
      </c>
      <c r="L51" s="6" t="s">
        <v>397</v>
      </c>
      <c r="M51" s="6">
        <v>60</v>
      </c>
      <c r="N51" s="6" t="s">
        <v>35</v>
      </c>
      <c r="O51" s="6" t="s">
        <v>292</v>
      </c>
      <c r="P51" s="6" t="s">
        <v>37</v>
      </c>
      <c r="Q51" s="7"/>
      <c r="R51" s="7"/>
      <c r="S51" s="7"/>
      <c r="T51" s="7" t="str">
        <f t="shared" si="0"/>
        <v/>
      </c>
      <c r="U51" s="6" t="s">
        <v>293</v>
      </c>
      <c r="V51" s="6" t="s">
        <v>398</v>
      </c>
      <c r="W51" s="7"/>
      <c r="X51" s="7"/>
      <c r="Y51" s="7"/>
      <c r="Z51" s="7"/>
      <c r="AA51" s="7"/>
      <c r="AB51" s="6" t="s">
        <v>295</v>
      </c>
    </row>
    <row r="52" ht="26.4" customHeight="1" spans="1:28">
      <c r="A52" s="2" t="s">
        <v>399</v>
      </c>
      <c r="B52" s="3" t="s">
        <v>28</v>
      </c>
      <c r="C52" s="4">
        <v>331286</v>
      </c>
      <c r="D52" s="5">
        <v>344</v>
      </c>
      <c r="E52" s="6" t="s">
        <v>29</v>
      </c>
      <c r="F52" s="6">
        <v>1999</v>
      </c>
      <c r="G52" s="6" t="s">
        <v>400</v>
      </c>
      <c r="H52" s="6" t="s">
        <v>28</v>
      </c>
      <c r="I52" s="6" t="s">
        <v>401</v>
      </c>
      <c r="J52" s="6" t="s">
        <v>402</v>
      </c>
      <c r="K52" s="6" t="s">
        <v>403</v>
      </c>
      <c r="L52" s="6" t="s">
        <v>404</v>
      </c>
      <c r="M52" s="6">
        <v>60</v>
      </c>
      <c r="N52" s="6" t="s">
        <v>35</v>
      </c>
      <c r="O52" s="6" t="s">
        <v>292</v>
      </c>
      <c r="P52" s="6" t="s">
        <v>37</v>
      </c>
      <c r="Q52" s="7">
        <v>272000</v>
      </c>
      <c r="R52" s="7">
        <v>0</v>
      </c>
      <c r="S52" s="7">
        <v>0</v>
      </c>
      <c r="T52" s="7">
        <f t="shared" si="0"/>
        <v>272000</v>
      </c>
      <c r="U52" s="6" t="s">
        <v>293</v>
      </c>
      <c r="V52" s="6" t="s">
        <v>405</v>
      </c>
      <c r="W52" s="7">
        <v>272000</v>
      </c>
      <c r="X52" s="7">
        <v>272000</v>
      </c>
      <c r="Y52" s="7">
        <v>272000</v>
      </c>
      <c r="Z52" s="7">
        <v>272000</v>
      </c>
      <c r="AA52" s="7">
        <v>272000</v>
      </c>
      <c r="AB52" s="6" t="s">
        <v>295</v>
      </c>
    </row>
    <row r="53" ht="26.4" customHeight="1" spans="1:28">
      <c r="A53" s="8" t="s">
        <v>406</v>
      </c>
      <c r="B53" s="9" t="s">
        <v>28</v>
      </c>
      <c r="C53" s="10">
        <v>505527</v>
      </c>
      <c r="D53" s="11">
        <v>280</v>
      </c>
      <c r="E53" s="6" t="s">
        <v>29</v>
      </c>
      <c r="F53" s="6">
        <v>2024</v>
      </c>
      <c r="G53" s="6" t="s">
        <v>407</v>
      </c>
      <c r="H53" s="6" t="s">
        <v>28</v>
      </c>
      <c r="I53" s="6" t="s">
        <v>408</v>
      </c>
      <c r="J53" s="6" t="s">
        <v>409</v>
      </c>
      <c r="K53" s="6"/>
      <c r="L53" s="6" t="s">
        <v>410</v>
      </c>
      <c r="M53" s="6">
        <v>60</v>
      </c>
      <c r="N53" s="6" t="s">
        <v>35</v>
      </c>
      <c r="O53" s="6" t="s">
        <v>292</v>
      </c>
      <c r="P53" s="6" t="s">
        <v>37</v>
      </c>
      <c r="Q53" s="7">
        <v>400000</v>
      </c>
      <c r="R53" s="7">
        <v>0</v>
      </c>
      <c r="S53" s="7">
        <v>0</v>
      </c>
      <c r="T53" s="7">
        <f t="shared" si="0"/>
        <v>400000</v>
      </c>
      <c r="U53" s="6" t="s">
        <v>351</v>
      </c>
      <c r="V53" s="6" t="s">
        <v>411</v>
      </c>
      <c r="W53" s="7">
        <v>400000</v>
      </c>
      <c r="X53" s="7">
        <v>400000</v>
      </c>
      <c r="Y53" s="7">
        <v>400000</v>
      </c>
      <c r="Z53" s="7">
        <v>400000</v>
      </c>
      <c r="AA53" s="7">
        <v>400000</v>
      </c>
      <c r="AB53" s="6" t="s">
        <v>353</v>
      </c>
    </row>
    <row r="54" ht="26.4" customHeight="1" spans="1:28">
      <c r="A54" s="2" t="s">
        <v>412</v>
      </c>
      <c r="B54" s="3" t="s">
        <v>28</v>
      </c>
      <c r="C54" s="4">
        <v>549680</v>
      </c>
      <c r="D54" s="5">
        <v>266</v>
      </c>
      <c r="E54" s="6" t="s">
        <v>29</v>
      </c>
      <c r="F54" s="6">
        <v>2009</v>
      </c>
      <c r="G54" s="6" t="s">
        <v>407</v>
      </c>
      <c r="H54" s="6" t="s">
        <v>28</v>
      </c>
      <c r="I54" s="6" t="s">
        <v>413</v>
      </c>
      <c r="J54" s="6"/>
      <c r="K54" s="6"/>
      <c r="L54" s="6" t="s">
        <v>414</v>
      </c>
      <c r="M54" s="6">
        <v>48</v>
      </c>
      <c r="N54" s="6" t="s">
        <v>35</v>
      </c>
      <c r="O54" s="6" t="s">
        <v>292</v>
      </c>
      <c r="P54" s="6" t="s">
        <v>37</v>
      </c>
      <c r="Q54" s="7"/>
      <c r="R54" s="7"/>
      <c r="S54" s="7"/>
      <c r="T54" s="7" t="str">
        <f t="shared" si="0"/>
        <v/>
      </c>
      <c r="U54" s="6" t="s">
        <v>293</v>
      </c>
      <c r="V54" s="6" t="s">
        <v>415</v>
      </c>
      <c r="W54" s="7"/>
      <c r="X54" s="7"/>
      <c r="Y54" s="7"/>
      <c r="Z54" s="7"/>
      <c r="AA54" s="7"/>
      <c r="AB54" s="6" t="s">
        <v>295</v>
      </c>
    </row>
    <row r="55" ht="26.4" customHeight="1" spans="1:28">
      <c r="A55" s="8" t="s">
        <v>416</v>
      </c>
      <c r="B55" s="9" t="s">
        <v>28</v>
      </c>
      <c r="C55" s="10">
        <v>508772</v>
      </c>
      <c r="D55" s="11">
        <v>279</v>
      </c>
      <c r="E55" s="6" t="s">
        <v>29</v>
      </c>
      <c r="F55" s="6">
        <v>2016</v>
      </c>
      <c r="G55" s="6" t="s">
        <v>272</v>
      </c>
      <c r="H55" s="6" t="s">
        <v>28</v>
      </c>
      <c r="I55" s="6" t="s">
        <v>417</v>
      </c>
      <c r="J55" s="6" t="s">
        <v>418</v>
      </c>
      <c r="K55" s="6" t="s">
        <v>419</v>
      </c>
      <c r="L55" s="6" t="s">
        <v>420</v>
      </c>
      <c r="M55" s="6">
        <v>60</v>
      </c>
      <c r="N55" s="6" t="s">
        <v>35</v>
      </c>
      <c r="O55" s="6" t="s">
        <v>292</v>
      </c>
      <c r="P55" s="6" t="s">
        <v>37</v>
      </c>
      <c r="Q55" s="7"/>
      <c r="R55" s="7"/>
      <c r="S55" s="7"/>
      <c r="T55" s="7" t="str">
        <f t="shared" si="0"/>
        <v/>
      </c>
      <c r="U55" s="6" t="s">
        <v>293</v>
      </c>
      <c r="V55" s="6" t="s">
        <v>421</v>
      </c>
      <c r="W55" s="7"/>
      <c r="X55" s="7"/>
      <c r="Y55" s="7"/>
      <c r="Z55" s="7"/>
      <c r="AA55" s="7"/>
      <c r="AB55" s="6" t="s">
        <v>295</v>
      </c>
    </row>
    <row r="56" ht="26.4" customHeight="1" spans="1:28">
      <c r="A56" s="2" t="s">
        <v>422</v>
      </c>
      <c r="B56" s="3" t="s">
        <v>28</v>
      </c>
      <c r="C56" s="4">
        <v>489838</v>
      </c>
      <c r="D56" s="5">
        <v>285</v>
      </c>
      <c r="E56" s="6" t="s">
        <v>29</v>
      </c>
      <c r="F56" s="6">
        <v>2008</v>
      </c>
      <c r="G56" s="6" t="s">
        <v>423</v>
      </c>
      <c r="H56" s="6" t="s">
        <v>28</v>
      </c>
      <c r="I56" s="6" t="s">
        <v>424</v>
      </c>
      <c r="J56" s="6" t="s">
        <v>425</v>
      </c>
      <c r="K56" s="6" t="s">
        <v>426</v>
      </c>
      <c r="L56" s="6" t="s">
        <v>427</v>
      </c>
      <c r="M56" s="6">
        <v>60</v>
      </c>
      <c r="N56" s="6" t="s">
        <v>35</v>
      </c>
      <c r="O56" s="6" t="s">
        <v>428</v>
      </c>
      <c r="P56" s="6" t="s">
        <v>37</v>
      </c>
      <c r="Q56" s="7">
        <v>272250</v>
      </c>
      <c r="R56" s="7">
        <v>0</v>
      </c>
      <c r="S56" s="7">
        <v>0</v>
      </c>
      <c r="T56" s="7">
        <f t="shared" si="0"/>
        <v>272250</v>
      </c>
      <c r="U56" s="6" t="s">
        <v>429</v>
      </c>
      <c r="V56" s="6" t="s">
        <v>430</v>
      </c>
      <c r="W56" s="7">
        <v>272250</v>
      </c>
      <c r="X56" s="7">
        <v>272250</v>
      </c>
      <c r="Y56" s="7">
        <v>272250</v>
      </c>
      <c r="Z56" s="7">
        <v>272250</v>
      </c>
      <c r="AA56" s="7">
        <v>272250</v>
      </c>
      <c r="AB56" s="6" t="s">
        <v>431</v>
      </c>
    </row>
    <row r="57" spans="1:28">
      <c r="A57" s="8" t="s">
        <v>432</v>
      </c>
      <c r="B57" s="9" t="s">
        <v>28</v>
      </c>
      <c r="C57" s="10">
        <v>531972</v>
      </c>
      <c r="D57" s="11">
        <v>272</v>
      </c>
      <c r="E57" s="6" t="s">
        <v>29</v>
      </c>
      <c r="F57" s="6">
        <v>1992</v>
      </c>
      <c r="G57" s="6" t="s">
        <v>433</v>
      </c>
      <c r="H57" s="6" t="s">
        <v>28</v>
      </c>
      <c r="I57" s="6" t="s">
        <v>434</v>
      </c>
      <c r="J57" s="6" t="s">
        <v>435</v>
      </c>
      <c r="K57" s="6"/>
      <c r="L57" s="6" t="s">
        <v>436</v>
      </c>
      <c r="M57" s="6">
        <v>60</v>
      </c>
      <c r="N57" s="6" t="s">
        <v>35</v>
      </c>
      <c r="O57" s="6" t="s">
        <v>292</v>
      </c>
      <c r="P57" s="6" t="s">
        <v>37</v>
      </c>
      <c r="Q57" s="7"/>
      <c r="R57" s="7"/>
      <c r="S57" s="7"/>
      <c r="T57" s="7" t="str">
        <f t="shared" si="0"/>
        <v/>
      </c>
      <c r="U57" s="6" t="s">
        <v>293</v>
      </c>
      <c r="V57" s="6" t="s">
        <v>437</v>
      </c>
      <c r="W57" s="7"/>
      <c r="X57" s="7"/>
      <c r="Y57" s="7"/>
      <c r="Z57" s="7"/>
      <c r="AA57" s="7"/>
      <c r="AB57" s="6" t="s">
        <v>295</v>
      </c>
    </row>
    <row r="58" ht="26.4" customHeight="1" spans="1:28">
      <c r="A58" s="2" t="s">
        <v>438</v>
      </c>
      <c r="B58" s="3" t="s">
        <v>28</v>
      </c>
      <c r="C58" s="4">
        <v>535882</v>
      </c>
      <c r="D58" s="5">
        <v>271</v>
      </c>
      <c r="E58" s="6" t="s">
        <v>29</v>
      </c>
      <c r="F58" s="6"/>
      <c r="G58" s="6" t="s">
        <v>439</v>
      </c>
      <c r="H58" s="6" t="s">
        <v>28</v>
      </c>
      <c r="I58" s="6" t="s">
        <v>440</v>
      </c>
      <c r="J58" s="6" t="s">
        <v>441</v>
      </c>
      <c r="K58" s="6" t="s">
        <v>442</v>
      </c>
      <c r="L58" s="6" t="s">
        <v>443</v>
      </c>
      <c r="M58" s="6">
        <v>60</v>
      </c>
      <c r="N58" s="6" t="s">
        <v>35</v>
      </c>
      <c r="O58" s="6" t="s">
        <v>292</v>
      </c>
      <c r="P58" s="6" t="s">
        <v>37</v>
      </c>
      <c r="Q58" s="7"/>
      <c r="R58" s="7"/>
      <c r="S58" s="7"/>
      <c r="T58" s="7" t="str">
        <f t="shared" si="0"/>
        <v/>
      </c>
      <c r="U58" s="6" t="s">
        <v>293</v>
      </c>
      <c r="V58" s="6" t="s">
        <v>444</v>
      </c>
      <c r="W58" s="7"/>
      <c r="X58" s="7"/>
      <c r="Y58" s="7"/>
      <c r="Z58" s="7"/>
      <c r="AA58" s="7"/>
      <c r="AB58" s="6" t="s">
        <v>295</v>
      </c>
    </row>
    <row r="59" ht="26.4" customHeight="1" spans="1:28">
      <c r="A59" s="8" t="s">
        <v>445</v>
      </c>
      <c r="B59" s="9" t="s">
        <v>28</v>
      </c>
      <c r="C59" s="10">
        <v>418275</v>
      </c>
      <c r="D59" s="11">
        <v>310</v>
      </c>
      <c r="E59" s="6" t="s">
        <v>29</v>
      </c>
      <c r="F59" s="6">
        <v>2019</v>
      </c>
      <c r="G59" s="6" t="s">
        <v>180</v>
      </c>
      <c r="H59" s="6" t="s">
        <v>28</v>
      </c>
      <c r="I59" s="6" t="s">
        <v>446</v>
      </c>
      <c r="J59" s="6" t="s">
        <v>447</v>
      </c>
      <c r="K59" s="6"/>
      <c r="L59" s="6" t="s">
        <v>448</v>
      </c>
      <c r="M59" s="6">
        <v>60</v>
      </c>
      <c r="N59" s="6" t="s">
        <v>35</v>
      </c>
      <c r="O59" s="6" t="s">
        <v>292</v>
      </c>
      <c r="P59" s="6" t="s">
        <v>37</v>
      </c>
      <c r="Q59" s="7">
        <v>340875</v>
      </c>
      <c r="R59" s="7">
        <v>0</v>
      </c>
      <c r="S59" s="7">
        <v>0</v>
      </c>
      <c r="T59" s="7">
        <f t="shared" si="0"/>
        <v>340875</v>
      </c>
      <c r="U59" s="6" t="s">
        <v>293</v>
      </c>
      <c r="V59" s="6" t="s">
        <v>449</v>
      </c>
      <c r="W59" s="7">
        <v>340875</v>
      </c>
      <c r="X59" s="7">
        <v>340875</v>
      </c>
      <c r="Y59" s="7">
        <v>340875</v>
      </c>
      <c r="Z59" s="7">
        <v>340875</v>
      </c>
      <c r="AA59" s="7">
        <v>340875</v>
      </c>
      <c r="AB59" s="6" t="s">
        <v>295</v>
      </c>
    </row>
    <row r="60" ht="26.4" customHeight="1" spans="1:28">
      <c r="A60" s="2" t="s">
        <v>450</v>
      </c>
      <c r="B60" s="3" t="s">
        <v>28</v>
      </c>
      <c r="C60" s="4">
        <v>461115</v>
      </c>
      <c r="D60" s="5">
        <v>295</v>
      </c>
      <c r="E60" s="6" t="s">
        <v>29</v>
      </c>
      <c r="F60" s="6">
        <v>2005</v>
      </c>
      <c r="G60" s="6" t="s">
        <v>451</v>
      </c>
      <c r="H60" s="6" t="s">
        <v>28</v>
      </c>
      <c r="I60" s="6" t="s">
        <v>452</v>
      </c>
      <c r="J60" s="6" t="s">
        <v>453</v>
      </c>
      <c r="K60" s="6" t="s">
        <v>454</v>
      </c>
      <c r="L60" s="6" t="s">
        <v>455</v>
      </c>
      <c r="M60" s="6">
        <v>100</v>
      </c>
      <c r="N60" s="6" t="s">
        <v>47</v>
      </c>
      <c r="O60" s="6" t="s">
        <v>456</v>
      </c>
      <c r="P60" s="6" t="s">
        <v>37</v>
      </c>
      <c r="Q60" s="7"/>
      <c r="R60" s="7"/>
      <c r="S60" s="7"/>
      <c r="T60" s="7" t="str">
        <f t="shared" si="0"/>
        <v/>
      </c>
      <c r="U60" s="6" t="s">
        <v>293</v>
      </c>
      <c r="V60" s="6" t="s">
        <v>457</v>
      </c>
      <c r="W60" s="7"/>
      <c r="X60" s="7"/>
      <c r="Y60" s="7"/>
      <c r="Z60" s="7"/>
      <c r="AA60" s="7"/>
      <c r="AB60" s="6" t="s">
        <v>295</v>
      </c>
    </row>
    <row r="61" ht="26.4" customHeight="1" spans="1:28">
      <c r="A61" s="8" t="s">
        <v>458</v>
      </c>
      <c r="B61" s="9" t="s">
        <v>28</v>
      </c>
      <c r="C61" s="10">
        <v>506856</v>
      </c>
      <c r="D61" s="11">
        <v>280</v>
      </c>
      <c r="E61" s="6" t="s">
        <v>29</v>
      </c>
      <c r="F61" s="6">
        <v>2019</v>
      </c>
      <c r="G61" s="6" t="s">
        <v>254</v>
      </c>
      <c r="H61" s="6" t="s">
        <v>28</v>
      </c>
      <c r="I61" s="6" t="s">
        <v>459</v>
      </c>
      <c r="J61" s="6" t="s">
        <v>460</v>
      </c>
      <c r="K61" s="6" t="s">
        <v>461</v>
      </c>
      <c r="L61" s="6" t="s">
        <v>462</v>
      </c>
      <c r="M61" s="6">
        <v>60</v>
      </c>
      <c r="N61" s="6" t="s">
        <v>35</v>
      </c>
      <c r="O61" s="6" t="s">
        <v>292</v>
      </c>
      <c r="P61" s="6" t="s">
        <v>37</v>
      </c>
      <c r="Q61" s="7"/>
      <c r="R61" s="7"/>
      <c r="S61" s="7"/>
      <c r="T61" s="7" t="str">
        <f t="shared" si="0"/>
        <v/>
      </c>
      <c r="U61" s="6" t="s">
        <v>293</v>
      </c>
      <c r="V61" s="6" t="s">
        <v>463</v>
      </c>
      <c r="W61" s="7"/>
      <c r="X61" s="7"/>
      <c r="Y61" s="7"/>
      <c r="Z61" s="7"/>
      <c r="AA61" s="7"/>
      <c r="AB61" s="6" t="s">
        <v>295</v>
      </c>
    </row>
    <row r="62" ht="26.4" customHeight="1" spans="1:28">
      <c r="A62" s="2" t="s">
        <v>464</v>
      </c>
      <c r="B62" s="3" t="s">
        <v>28</v>
      </c>
      <c r="C62" s="4">
        <v>540877</v>
      </c>
      <c r="D62" s="5">
        <v>269</v>
      </c>
      <c r="E62" s="6" t="s">
        <v>29</v>
      </c>
      <c r="F62" s="6">
        <v>1998</v>
      </c>
      <c r="G62" s="6" t="s">
        <v>465</v>
      </c>
      <c r="H62" s="6" t="s">
        <v>28</v>
      </c>
      <c r="I62" s="6" t="s">
        <v>466</v>
      </c>
      <c r="J62" s="6" t="s">
        <v>467</v>
      </c>
      <c r="K62" s="6" t="s">
        <v>468</v>
      </c>
      <c r="L62" s="6" t="s">
        <v>469</v>
      </c>
      <c r="M62" s="6">
        <v>100</v>
      </c>
      <c r="N62" s="6" t="s">
        <v>470</v>
      </c>
      <c r="O62" s="6" t="s">
        <v>292</v>
      </c>
      <c r="P62" s="6" t="s">
        <v>37</v>
      </c>
      <c r="Q62" s="7"/>
      <c r="R62" s="7"/>
      <c r="S62" s="7"/>
      <c r="T62" s="7" t="str">
        <f t="shared" si="0"/>
        <v/>
      </c>
      <c r="U62" s="6" t="s">
        <v>293</v>
      </c>
      <c r="V62" s="6" t="s">
        <v>471</v>
      </c>
      <c r="W62" s="7"/>
      <c r="X62" s="7"/>
      <c r="Y62" s="7"/>
      <c r="Z62" s="7"/>
      <c r="AA62" s="7"/>
      <c r="AB62" s="6" t="s">
        <v>295</v>
      </c>
    </row>
    <row r="63" ht="26.4" customHeight="1" spans="1:28">
      <c r="A63" s="8" t="s">
        <v>472</v>
      </c>
      <c r="B63" s="9" t="s">
        <v>28</v>
      </c>
      <c r="C63" s="10">
        <v>564456</v>
      </c>
      <c r="D63" s="11">
        <v>262</v>
      </c>
      <c r="E63" s="6" t="s">
        <v>29</v>
      </c>
      <c r="F63" s="6"/>
      <c r="G63" s="6" t="s">
        <v>473</v>
      </c>
      <c r="H63" s="6" t="s">
        <v>28</v>
      </c>
      <c r="I63" s="6" t="s">
        <v>474</v>
      </c>
      <c r="J63" s="6" t="s">
        <v>475</v>
      </c>
      <c r="K63" s="6" t="s">
        <v>476</v>
      </c>
      <c r="L63" s="6" t="s">
        <v>477</v>
      </c>
      <c r="M63" s="6">
        <v>100</v>
      </c>
      <c r="N63" s="6" t="s">
        <v>35</v>
      </c>
      <c r="O63" s="6" t="s">
        <v>292</v>
      </c>
      <c r="P63" s="6" t="s">
        <v>37</v>
      </c>
      <c r="Q63" s="7"/>
      <c r="R63" s="7"/>
      <c r="S63" s="7"/>
      <c r="T63" s="7" t="str">
        <f t="shared" si="0"/>
        <v/>
      </c>
      <c r="U63" s="6" t="s">
        <v>293</v>
      </c>
      <c r="V63" s="6" t="s">
        <v>478</v>
      </c>
      <c r="W63" s="7"/>
      <c r="X63" s="7"/>
      <c r="Y63" s="7"/>
      <c r="Z63" s="7"/>
      <c r="AA63" s="7"/>
      <c r="AB63" s="6" t="s">
        <v>295</v>
      </c>
    </row>
    <row r="64" ht="39.6" customHeight="1" spans="1:28">
      <c r="A64" s="2" t="s">
        <v>479</v>
      </c>
      <c r="B64" s="3" t="s">
        <v>28</v>
      </c>
      <c r="C64" s="4">
        <v>498939</v>
      </c>
      <c r="D64" s="5">
        <v>282</v>
      </c>
      <c r="E64" s="6" t="s">
        <v>29</v>
      </c>
      <c r="F64" s="6">
        <v>1998</v>
      </c>
      <c r="G64" s="6" t="s">
        <v>480</v>
      </c>
      <c r="H64" s="6" t="s">
        <v>28</v>
      </c>
      <c r="I64" s="6" t="s">
        <v>481</v>
      </c>
      <c r="J64" s="6" t="s">
        <v>482</v>
      </c>
      <c r="K64" s="6" t="s">
        <v>483</v>
      </c>
      <c r="L64" s="6" t="s">
        <v>484</v>
      </c>
      <c r="M64" s="6">
        <v>60</v>
      </c>
      <c r="N64" s="6" t="s">
        <v>35</v>
      </c>
      <c r="O64" s="6" t="s">
        <v>292</v>
      </c>
      <c r="P64" s="6" t="s">
        <v>37</v>
      </c>
      <c r="Q64" s="7">
        <v>340875</v>
      </c>
      <c r="R64" s="7">
        <v>0</v>
      </c>
      <c r="S64" s="7">
        <v>0</v>
      </c>
      <c r="T64" s="7">
        <f t="shared" si="0"/>
        <v>340875</v>
      </c>
      <c r="U64" s="6" t="s">
        <v>293</v>
      </c>
      <c r="V64" s="6" t="s">
        <v>485</v>
      </c>
      <c r="W64" s="7">
        <v>340875</v>
      </c>
      <c r="X64" s="7">
        <v>340875</v>
      </c>
      <c r="Y64" s="7">
        <v>340875</v>
      </c>
      <c r="Z64" s="7">
        <v>340875</v>
      </c>
      <c r="AA64" s="7">
        <v>340875</v>
      </c>
      <c r="AB64" s="6" t="s">
        <v>295</v>
      </c>
    </row>
    <row r="65" ht="26.4" customHeight="1" spans="1:28">
      <c r="A65" s="8" t="s">
        <v>486</v>
      </c>
      <c r="B65" s="9" t="s">
        <v>28</v>
      </c>
      <c r="C65" s="10">
        <v>517062</v>
      </c>
      <c r="D65" s="11">
        <v>277</v>
      </c>
      <c r="E65" s="6" t="s">
        <v>29</v>
      </c>
      <c r="F65" s="6">
        <v>1997</v>
      </c>
      <c r="G65" s="6" t="s">
        <v>451</v>
      </c>
      <c r="H65" s="6" t="s">
        <v>28</v>
      </c>
      <c r="I65" s="6" t="s">
        <v>487</v>
      </c>
      <c r="J65" s="6" t="s">
        <v>488</v>
      </c>
      <c r="K65" s="6" t="s">
        <v>489</v>
      </c>
      <c r="L65" s="6" t="s">
        <v>490</v>
      </c>
      <c r="M65" s="6">
        <v>60</v>
      </c>
      <c r="N65" s="6" t="s">
        <v>35</v>
      </c>
      <c r="O65" s="6" t="s">
        <v>292</v>
      </c>
      <c r="P65" s="6" t="s">
        <v>37</v>
      </c>
      <c r="Q65" s="7"/>
      <c r="R65" s="7"/>
      <c r="S65" s="7"/>
      <c r="T65" s="7" t="str">
        <f t="shared" si="0"/>
        <v/>
      </c>
      <c r="U65" s="6" t="s">
        <v>293</v>
      </c>
      <c r="V65" s="6" t="s">
        <v>491</v>
      </c>
      <c r="W65" s="7"/>
      <c r="X65" s="7"/>
      <c r="Y65" s="7"/>
      <c r="Z65" s="7"/>
      <c r="AA65" s="7"/>
      <c r="AB65" s="6" t="s">
        <v>295</v>
      </c>
    </row>
    <row r="66" ht="26.4" customHeight="1" spans="1:28">
      <c r="A66" s="2" t="s">
        <v>492</v>
      </c>
      <c r="B66" s="3" t="s">
        <v>28</v>
      </c>
      <c r="C66" s="4">
        <v>503090</v>
      </c>
      <c r="D66" s="5">
        <v>281</v>
      </c>
      <c r="E66" s="6" t="s">
        <v>29</v>
      </c>
      <c r="F66" s="6"/>
      <c r="G66" s="6" t="s">
        <v>493</v>
      </c>
      <c r="H66" s="6" t="s">
        <v>28</v>
      </c>
      <c r="I66" s="6" t="s">
        <v>494</v>
      </c>
      <c r="J66" s="6" t="s">
        <v>495</v>
      </c>
      <c r="K66" s="6" t="s">
        <v>496</v>
      </c>
      <c r="L66" s="6" t="s">
        <v>497</v>
      </c>
      <c r="M66" s="6">
        <v>60</v>
      </c>
      <c r="N66" s="6" t="s">
        <v>35</v>
      </c>
      <c r="O66" s="6" t="s">
        <v>292</v>
      </c>
      <c r="P66" s="6" t="s">
        <v>37</v>
      </c>
      <c r="Q66" s="7"/>
      <c r="R66" s="7"/>
      <c r="S66" s="7"/>
      <c r="T66" s="7" t="str">
        <f t="shared" ref="T66:T129" si="1">IF(COUNT(Q66:S66)=0,"",SUM(Q66:S66))</f>
        <v/>
      </c>
      <c r="U66" s="6" t="s">
        <v>293</v>
      </c>
      <c r="V66" s="6" t="s">
        <v>498</v>
      </c>
      <c r="W66" s="7"/>
      <c r="X66" s="7"/>
      <c r="Y66" s="7"/>
      <c r="Z66" s="7"/>
      <c r="AA66" s="7"/>
      <c r="AB66" s="6" t="s">
        <v>295</v>
      </c>
    </row>
    <row r="67" ht="26.4" customHeight="1" spans="1:28">
      <c r="A67" s="8" t="s">
        <v>499</v>
      </c>
      <c r="B67" s="9" t="s">
        <v>28</v>
      </c>
      <c r="C67" s="10">
        <v>396393</v>
      </c>
      <c r="D67" s="11">
        <v>318</v>
      </c>
      <c r="E67" s="6" t="s">
        <v>29</v>
      </c>
      <c r="F67" s="6">
        <v>1998</v>
      </c>
      <c r="G67" s="6" t="s">
        <v>315</v>
      </c>
      <c r="H67" s="6" t="s">
        <v>28</v>
      </c>
      <c r="I67" s="6" t="s">
        <v>500</v>
      </c>
      <c r="J67" s="6" t="s">
        <v>501</v>
      </c>
      <c r="K67" s="6" t="s">
        <v>502</v>
      </c>
      <c r="L67" s="6" t="s">
        <v>503</v>
      </c>
      <c r="M67" s="6">
        <v>50</v>
      </c>
      <c r="N67" s="6" t="s">
        <v>35</v>
      </c>
      <c r="O67" s="6" t="s">
        <v>504</v>
      </c>
      <c r="P67" s="6" t="s">
        <v>37</v>
      </c>
      <c r="Q67" s="7">
        <v>340875</v>
      </c>
      <c r="R67" s="7">
        <v>0</v>
      </c>
      <c r="S67" s="7">
        <v>0</v>
      </c>
      <c r="T67" s="7">
        <f t="shared" si="1"/>
        <v>340875</v>
      </c>
      <c r="U67" s="6" t="s">
        <v>505</v>
      </c>
      <c r="V67" s="6" t="s">
        <v>506</v>
      </c>
      <c r="W67" s="7">
        <v>340875</v>
      </c>
      <c r="X67" s="7">
        <v>340875</v>
      </c>
      <c r="Y67" s="7">
        <v>340875</v>
      </c>
      <c r="Z67" s="7">
        <v>340875</v>
      </c>
      <c r="AA67" s="7">
        <v>340875</v>
      </c>
      <c r="AB67" s="6" t="s">
        <v>507</v>
      </c>
    </row>
    <row r="68" ht="26.4" customHeight="1" spans="1:28">
      <c r="A68" s="2" t="s">
        <v>508</v>
      </c>
      <c r="B68" s="3" t="s">
        <v>28</v>
      </c>
      <c r="C68" s="4">
        <v>561737</v>
      </c>
      <c r="D68" s="5">
        <v>263</v>
      </c>
      <c r="E68" s="6" t="s">
        <v>29</v>
      </c>
      <c r="F68" s="6">
        <v>2021</v>
      </c>
      <c r="G68" s="6" t="s">
        <v>225</v>
      </c>
      <c r="H68" s="6" t="s">
        <v>28</v>
      </c>
      <c r="I68" s="6" t="s">
        <v>509</v>
      </c>
      <c r="J68" s="6"/>
      <c r="K68" s="6"/>
      <c r="L68" s="6" t="s">
        <v>510</v>
      </c>
      <c r="M68" s="6">
        <v>60</v>
      </c>
      <c r="N68" s="6" t="s">
        <v>35</v>
      </c>
      <c r="O68" s="6" t="s">
        <v>292</v>
      </c>
      <c r="P68" s="6" t="s">
        <v>37</v>
      </c>
      <c r="Q68" s="7"/>
      <c r="R68" s="7"/>
      <c r="S68" s="7"/>
      <c r="T68" s="7" t="str">
        <f t="shared" si="1"/>
        <v/>
      </c>
      <c r="U68" s="6" t="s">
        <v>293</v>
      </c>
      <c r="V68" s="6" t="s">
        <v>511</v>
      </c>
      <c r="W68" s="7"/>
      <c r="X68" s="7"/>
      <c r="Y68" s="7"/>
      <c r="Z68" s="7"/>
      <c r="AA68" s="7"/>
      <c r="AB68" s="6" t="s">
        <v>295</v>
      </c>
    </row>
    <row r="69" ht="26.4" customHeight="1" spans="1:28">
      <c r="A69" s="8" t="s">
        <v>512</v>
      </c>
      <c r="B69" s="9" t="s">
        <v>28</v>
      </c>
      <c r="C69" s="10">
        <v>422737</v>
      </c>
      <c r="D69" s="11">
        <v>308</v>
      </c>
      <c r="E69" s="6" t="s">
        <v>29</v>
      </c>
      <c r="F69" s="6">
        <v>1995</v>
      </c>
      <c r="G69" s="6" t="s">
        <v>493</v>
      </c>
      <c r="H69" s="6" t="s">
        <v>28</v>
      </c>
      <c r="I69" s="6" t="s">
        <v>513</v>
      </c>
      <c r="J69" s="6" t="s">
        <v>514</v>
      </c>
      <c r="K69" s="6" t="s">
        <v>515</v>
      </c>
      <c r="L69" s="6" t="s">
        <v>516</v>
      </c>
      <c r="M69" s="6">
        <v>60</v>
      </c>
      <c r="N69" s="6" t="s">
        <v>35</v>
      </c>
      <c r="O69" s="6" t="s">
        <v>292</v>
      </c>
      <c r="P69" s="6" t="s">
        <v>37</v>
      </c>
      <c r="Q69" s="7">
        <v>340875</v>
      </c>
      <c r="R69" s="7">
        <v>0</v>
      </c>
      <c r="S69" s="7">
        <v>0</v>
      </c>
      <c r="T69" s="7">
        <f t="shared" si="1"/>
        <v>340875</v>
      </c>
      <c r="U69" s="6" t="s">
        <v>505</v>
      </c>
      <c r="V69" s="6" t="s">
        <v>517</v>
      </c>
      <c r="W69" s="7">
        <v>340875</v>
      </c>
      <c r="X69" s="7">
        <v>340875</v>
      </c>
      <c r="Y69" s="7">
        <v>340875</v>
      </c>
      <c r="Z69" s="7">
        <v>340875</v>
      </c>
      <c r="AA69" s="7">
        <v>340875</v>
      </c>
      <c r="AB69" s="6" t="s">
        <v>507</v>
      </c>
    </row>
    <row r="70" ht="26.4" customHeight="1" spans="1:28">
      <c r="A70" s="2" t="s">
        <v>518</v>
      </c>
      <c r="B70" s="3" t="s">
        <v>28</v>
      </c>
      <c r="C70" s="4">
        <v>331260</v>
      </c>
      <c r="D70" s="5">
        <v>344</v>
      </c>
      <c r="E70" s="6" t="s">
        <v>29</v>
      </c>
      <c r="F70" s="6">
        <v>1996</v>
      </c>
      <c r="G70" s="6" t="s">
        <v>407</v>
      </c>
      <c r="H70" s="6" t="s">
        <v>28</v>
      </c>
      <c r="I70" s="6" t="s">
        <v>519</v>
      </c>
      <c r="J70" s="6" t="s">
        <v>520</v>
      </c>
      <c r="K70" s="6" t="s">
        <v>521</v>
      </c>
      <c r="L70" s="6" t="s">
        <v>522</v>
      </c>
      <c r="M70" s="6">
        <v>100</v>
      </c>
      <c r="N70" s="6" t="s">
        <v>35</v>
      </c>
      <c r="O70" s="6" t="s">
        <v>292</v>
      </c>
      <c r="P70" s="6" t="s">
        <v>37</v>
      </c>
      <c r="Q70" s="7">
        <v>300000</v>
      </c>
      <c r="R70" s="7">
        <v>0</v>
      </c>
      <c r="S70" s="7">
        <v>0</v>
      </c>
      <c r="T70" s="7">
        <f t="shared" si="1"/>
        <v>300000</v>
      </c>
      <c r="U70" s="6" t="s">
        <v>505</v>
      </c>
      <c r="V70" s="6" t="s">
        <v>523</v>
      </c>
      <c r="W70" s="7">
        <v>300000</v>
      </c>
      <c r="X70" s="7">
        <v>300000</v>
      </c>
      <c r="Y70" s="7">
        <v>300000</v>
      </c>
      <c r="Z70" s="7">
        <v>300000</v>
      </c>
      <c r="AA70" s="7">
        <v>300000</v>
      </c>
      <c r="AB70" s="6" t="s">
        <v>507</v>
      </c>
    </row>
    <row r="71" ht="26.4" customHeight="1" spans="1:28">
      <c r="A71" s="8" t="s">
        <v>524</v>
      </c>
      <c r="B71" s="9" t="s">
        <v>28</v>
      </c>
      <c r="C71" s="10">
        <v>360815</v>
      </c>
      <c r="D71" s="11">
        <v>332</v>
      </c>
      <c r="E71" s="6" t="s">
        <v>29</v>
      </c>
      <c r="F71" s="6"/>
      <c r="G71" s="6" t="s">
        <v>525</v>
      </c>
      <c r="H71" s="6" t="s">
        <v>28</v>
      </c>
      <c r="I71" s="6" t="s">
        <v>526</v>
      </c>
      <c r="J71" s="6"/>
      <c r="K71" s="6"/>
      <c r="L71" s="6" t="s">
        <v>527</v>
      </c>
      <c r="M71" s="6">
        <v>100</v>
      </c>
      <c r="N71" s="6" t="s">
        <v>35</v>
      </c>
      <c r="O71" s="6" t="s">
        <v>292</v>
      </c>
      <c r="P71" s="6" t="s">
        <v>37</v>
      </c>
      <c r="Q71" s="7">
        <v>200000</v>
      </c>
      <c r="R71" s="7">
        <v>0</v>
      </c>
      <c r="S71" s="7">
        <v>0</v>
      </c>
      <c r="T71" s="7">
        <f t="shared" si="1"/>
        <v>200000</v>
      </c>
      <c r="U71" s="6" t="s">
        <v>293</v>
      </c>
      <c r="V71" s="6" t="s">
        <v>528</v>
      </c>
      <c r="W71" s="7">
        <v>200000</v>
      </c>
      <c r="X71" s="7">
        <v>200000</v>
      </c>
      <c r="Y71" s="7">
        <v>200000</v>
      </c>
      <c r="Z71" s="7">
        <v>200000</v>
      </c>
      <c r="AA71" s="7">
        <v>200000</v>
      </c>
      <c r="AB71" s="6" t="s">
        <v>295</v>
      </c>
    </row>
    <row r="72" spans="1:28">
      <c r="A72" s="2" t="s">
        <v>529</v>
      </c>
      <c r="B72" s="3" t="s">
        <v>28</v>
      </c>
      <c r="C72" s="4">
        <v>549036</v>
      </c>
      <c r="D72" s="5">
        <v>266</v>
      </c>
      <c r="E72" s="6" t="s">
        <v>29</v>
      </c>
      <c r="F72" s="6">
        <v>1992</v>
      </c>
      <c r="G72" s="6" t="s">
        <v>530</v>
      </c>
      <c r="H72" s="6" t="s">
        <v>28</v>
      </c>
      <c r="I72" s="6" t="s">
        <v>531</v>
      </c>
      <c r="J72" s="6" t="s">
        <v>532</v>
      </c>
      <c r="K72" s="6" t="s">
        <v>533</v>
      </c>
      <c r="L72" s="6" t="s">
        <v>534</v>
      </c>
      <c r="M72" s="6">
        <v>60</v>
      </c>
      <c r="N72" s="6" t="s">
        <v>35</v>
      </c>
      <c r="O72" s="6" t="s">
        <v>292</v>
      </c>
      <c r="P72" s="6" t="s">
        <v>37</v>
      </c>
      <c r="Q72" s="7">
        <v>200500</v>
      </c>
      <c r="R72" s="7">
        <v>0</v>
      </c>
      <c r="S72" s="7">
        <v>0</v>
      </c>
      <c r="T72" s="7">
        <f t="shared" si="1"/>
        <v>200500</v>
      </c>
      <c r="U72" s="6" t="s">
        <v>293</v>
      </c>
      <c r="V72" s="6" t="s">
        <v>535</v>
      </c>
      <c r="W72" s="7">
        <v>200500</v>
      </c>
      <c r="X72" s="7">
        <v>200500</v>
      </c>
      <c r="Y72" s="7">
        <v>200500</v>
      </c>
      <c r="Z72" s="7">
        <v>200500</v>
      </c>
      <c r="AA72" s="7">
        <v>200500</v>
      </c>
      <c r="AB72" s="6" t="s">
        <v>295</v>
      </c>
    </row>
    <row r="73" ht="26.4" customHeight="1" spans="1:28">
      <c r="A73" s="8" t="s">
        <v>536</v>
      </c>
      <c r="B73" s="9" t="s">
        <v>28</v>
      </c>
      <c r="C73" s="10">
        <v>415929</v>
      </c>
      <c r="D73" s="11">
        <v>311</v>
      </c>
      <c r="E73" s="6" t="s">
        <v>29</v>
      </c>
      <c r="F73" s="6">
        <v>1996</v>
      </c>
      <c r="G73" s="6" t="s">
        <v>537</v>
      </c>
      <c r="H73" s="6" t="s">
        <v>28</v>
      </c>
      <c r="I73" s="6" t="s">
        <v>538</v>
      </c>
      <c r="J73" s="6" t="s">
        <v>539</v>
      </c>
      <c r="K73" s="6" t="s">
        <v>540</v>
      </c>
      <c r="L73" s="6" t="s">
        <v>541</v>
      </c>
      <c r="M73" s="6">
        <v>60</v>
      </c>
      <c r="N73" s="6" t="s">
        <v>35</v>
      </c>
      <c r="O73" s="6" t="s">
        <v>542</v>
      </c>
      <c r="P73" s="6" t="s">
        <v>37</v>
      </c>
      <c r="Q73" s="7">
        <v>250000</v>
      </c>
      <c r="R73" s="7">
        <v>0</v>
      </c>
      <c r="S73" s="7">
        <v>0</v>
      </c>
      <c r="T73" s="7">
        <f t="shared" si="1"/>
        <v>250000</v>
      </c>
      <c r="U73" s="6" t="s">
        <v>293</v>
      </c>
      <c r="V73" s="6" t="s">
        <v>543</v>
      </c>
      <c r="W73" s="7">
        <v>250000</v>
      </c>
      <c r="X73" s="7">
        <v>250000</v>
      </c>
      <c r="Y73" s="7">
        <v>250000</v>
      </c>
      <c r="Z73" s="7">
        <v>250000</v>
      </c>
      <c r="AA73" s="7">
        <v>250000</v>
      </c>
      <c r="AB73" s="6" t="s">
        <v>295</v>
      </c>
    </row>
    <row r="74" ht="39.6" customHeight="1" spans="1:28">
      <c r="A74" s="2" t="s">
        <v>544</v>
      </c>
      <c r="B74" s="3" t="s">
        <v>28</v>
      </c>
      <c r="C74" s="4">
        <v>553002</v>
      </c>
      <c r="D74" s="5">
        <v>265</v>
      </c>
      <c r="E74" s="6" t="s">
        <v>29</v>
      </c>
      <c r="F74" s="6">
        <v>1997</v>
      </c>
      <c r="G74" s="6" t="s">
        <v>530</v>
      </c>
      <c r="H74" s="6" t="s">
        <v>28</v>
      </c>
      <c r="I74" s="6" t="s">
        <v>545</v>
      </c>
      <c r="J74" s="6" t="s">
        <v>546</v>
      </c>
      <c r="K74" s="6" t="s">
        <v>547</v>
      </c>
      <c r="L74" s="6"/>
      <c r="M74" s="6">
        <v>60</v>
      </c>
      <c r="N74" s="6" t="s">
        <v>35</v>
      </c>
      <c r="O74" s="6" t="s">
        <v>548</v>
      </c>
      <c r="P74" s="6" t="s">
        <v>37</v>
      </c>
      <c r="Q74" s="7">
        <v>282000</v>
      </c>
      <c r="R74" s="7">
        <v>0</v>
      </c>
      <c r="S74" s="7">
        <v>0</v>
      </c>
      <c r="T74" s="7">
        <f t="shared" si="1"/>
        <v>282000</v>
      </c>
      <c r="U74" s="6" t="s">
        <v>293</v>
      </c>
      <c r="V74" s="6" t="s">
        <v>549</v>
      </c>
      <c r="W74" s="7">
        <v>282000</v>
      </c>
      <c r="X74" s="7">
        <v>282000</v>
      </c>
      <c r="Y74" s="7">
        <v>282000</v>
      </c>
      <c r="Z74" s="7">
        <v>282000</v>
      </c>
      <c r="AA74" s="7">
        <v>282000</v>
      </c>
      <c r="AB74" s="6" t="s">
        <v>295</v>
      </c>
    </row>
    <row r="75" ht="26.4" customHeight="1" spans="1:28">
      <c r="A75" s="8" t="s">
        <v>550</v>
      </c>
      <c r="B75" s="9" t="s">
        <v>28</v>
      </c>
      <c r="C75" s="10">
        <v>464055</v>
      </c>
      <c r="D75" s="11">
        <v>294</v>
      </c>
      <c r="E75" s="6" t="s">
        <v>29</v>
      </c>
      <c r="F75" s="6">
        <v>1992</v>
      </c>
      <c r="G75" s="6" t="s">
        <v>551</v>
      </c>
      <c r="H75" s="6" t="s">
        <v>28</v>
      </c>
      <c r="I75" s="6" t="s">
        <v>552</v>
      </c>
      <c r="J75" s="6" t="s">
        <v>553</v>
      </c>
      <c r="K75" s="6" t="s">
        <v>554</v>
      </c>
      <c r="L75" s="6" t="s">
        <v>555</v>
      </c>
      <c r="M75" s="6">
        <v>60</v>
      </c>
      <c r="N75" s="6" t="s">
        <v>35</v>
      </c>
      <c r="O75" s="6" t="s">
        <v>292</v>
      </c>
      <c r="P75" s="6" t="s">
        <v>37</v>
      </c>
      <c r="Q75" s="7"/>
      <c r="R75" s="7"/>
      <c r="S75" s="7"/>
      <c r="T75" s="7" t="str">
        <f t="shared" si="1"/>
        <v/>
      </c>
      <c r="U75" s="6" t="s">
        <v>293</v>
      </c>
      <c r="V75" s="6" t="s">
        <v>556</v>
      </c>
      <c r="W75" s="7"/>
      <c r="X75" s="7"/>
      <c r="Y75" s="7"/>
      <c r="Z75" s="7"/>
      <c r="AA75" s="7"/>
      <c r="AB75" s="6" t="s">
        <v>295</v>
      </c>
    </row>
    <row r="76" ht="26.4" customHeight="1" spans="1:28">
      <c r="A76" s="2" t="s">
        <v>557</v>
      </c>
      <c r="B76" s="3" t="s">
        <v>28</v>
      </c>
      <c r="C76" s="4">
        <v>490558</v>
      </c>
      <c r="D76" s="5">
        <v>285</v>
      </c>
      <c r="E76" s="6" t="s">
        <v>29</v>
      </c>
      <c r="F76" s="6">
        <v>2021</v>
      </c>
      <c r="G76" s="6" t="s">
        <v>315</v>
      </c>
      <c r="H76" s="6" t="s">
        <v>28</v>
      </c>
      <c r="I76" s="6" t="s">
        <v>558</v>
      </c>
      <c r="J76" s="6" t="s">
        <v>559</v>
      </c>
      <c r="K76" s="6" t="s">
        <v>560</v>
      </c>
      <c r="L76" s="6" t="s">
        <v>561</v>
      </c>
      <c r="M76" s="6">
        <v>60</v>
      </c>
      <c r="N76" s="6" t="s">
        <v>35</v>
      </c>
      <c r="O76" s="6" t="s">
        <v>562</v>
      </c>
      <c r="P76" s="6" t="s">
        <v>37</v>
      </c>
      <c r="Q76" s="7"/>
      <c r="R76" s="7"/>
      <c r="S76" s="7"/>
      <c r="T76" s="7" t="str">
        <f t="shared" si="1"/>
        <v/>
      </c>
      <c r="U76" s="6" t="s">
        <v>563</v>
      </c>
      <c r="V76" s="6" t="s">
        <v>564</v>
      </c>
      <c r="W76" s="7"/>
      <c r="X76" s="7"/>
      <c r="Y76" s="7"/>
      <c r="Z76" s="7"/>
      <c r="AA76" s="7"/>
      <c r="AB76" s="6" t="s">
        <v>565</v>
      </c>
    </row>
    <row r="77" ht="26.4" customHeight="1" spans="1:28">
      <c r="A77" s="8" t="s">
        <v>566</v>
      </c>
      <c r="B77" s="9" t="s">
        <v>28</v>
      </c>
      <c r="C77" s="10">
        <v>468746</v>
      </c>
      <c r="D77" s="11">
        <v>292</v>
      </c>
      <c r="E77" s="6" t="s">
        <v>29</v>
      </c>
      <c r="F77" s="6">
        <v>1996</v>
      </c>
      <c r="G77" s="6" t="s">
        <v>567</v>
      </c>
      <c r="H77" s="6" t="s">
        <v>28</v>
      </c>
      <c r="I77" s="6" t="s">
        <v>568</v>
      </c>
      <c r="J77" s="6" t="s">
        <v>569</v>
      </c>
      <c r="K77" s="6" t="s">
        <v>570</v>
      </c>
      <c r="L77" s="6" t="s">
        <v>571</v>
      </c>
      <c r="M77" s="6">
        <v>60</v>
      </c>
      <c r="N77" s="6" t="s">
        <v>572</v>
      </c>
      <c r="O77" s="6" t="s">
        <v>573</v>
      </c>
      <c r="P77" s="6" t="s">
        <v>37</v>
      </c>
      <c r="Q77" s="7">
        <v>272250</v>
      </c>
      <c r="R77" s="7">
        <v>0</v>
      </c>
      <c r="S77" s="7">
        <v>0</v>
      </c>
      <c r="T77" s="7">
        <f t="shared" si="1"/>
        <v>272250</v>
      </c>
      <c r="U77" s="6" t="s">
        <v>563</v>
      </c>
      <c r="V77" s="6" t="s">
        <v>574</v>
      </c>
      <c r="W77" s="7">
        <v>272250</v>
      </c>
      <c r="X77" s="7">
        <v>272250</v>
      </c>
      <c r="Y77" s="7">
        <v>272250</v>
      </c>
      <c r="Z77" s="7">
        <v>272250</v>
      </c>
      <c r="AA77" s="7">
        <v>272250</v>
      </c>
      <c r="AB77" s="6" t="s">
        <v>575</v>
      </c>
    </row>
    <row r="78" ht="26.4" customHeight="1" spans="1:28">
      <c r="A78" s="2" t="s">
        <v>576</v>
      </c>
      <c r="B78" s="3" t="s">
        <v>28</v>
      </c>
      <c r="C78" s="4">
        <v>555604</v>
      </c>
      <c r="D78" s="5">
        <v>264</v>
      </c>
      <c r="E78" s="6" t="s">
        <v>29</v>
      </c>
      <c r="F78" s="6"/>
      <c r="G78" s="6" t="s">
        <v>577</v>
      </c>
      <c r="H78" s="6" t="s">
        <v>28</v>
      </c>
      <c r="I78" s="6" t="s">
        <v>578</v>
      </c>
      <c r="J78" s="6" t="s">
        <v>579</v>
      </c>
      <c r="K78" s="6" t="s">
        <v>580</v>
      </c>
      <c r="L78" s="6" t="s">
        <v>581</v>
      </c>
      <c r="M78" s="6">
        <v>60</v>
      </c>
      <c r="N78" s="6" t="s">
        <v>35</v>
      </c>
      <c r="O78" s="6" t="s">
        <v>582</v>
      </c>
      <c r="P78" s="6" t="s">
        <v>37</v>
      </c>
      <c r="Q78" s="7"/>
      <c r="R78" s="7"/>
      <c r="S78" s="7"/>
      <c r="T78" s="7" t="str">
        <f t="shared" si="1"/>
        <v/>
      </c>
      <c r="U78" s="6" t="s">
        <v>563</v>
      </c>
      <c r="V78" s="6" t="s">
        <v>583</v>
      </c>
      <c r="W78" s="7"/>
      <c r="X78" s="7"/>
      <c r="Y78" s="7"/>
      <c r="Z78" s="7"/>
      <c r="AA78" s="7"/>
      <c r="AB78" s="6" t="s">
        <v>575</v>
      </c>
    </row>
    <row r="79" ht="26.4" customHeight="1" spans="1:28">
      <c r="A79" s="8" t="s">
        <v>584</v>
      </c>
      <c r="B79" s="9" t="s">
        <v>28</v>
      </c>
      <c r="C79" s="10">
        <v>193325</v>
      </c>
      <c r="D79" s="11">
        <v>410</v>
      </c>
      <c r="E79" s="6" t="s">
        <v>29</v>
      </c>
      <c r="F79" s="6">
        <v>1992</v>
      </c>
      <c r="G79" s="6" t="s">
        <v>585</v>
      </c>
      <c r="H79" s="6" t="s">
        <v>28</v>
      </c>
      <c r="I79" s="6" t="s">
        <v>586</v>
      </c>
      <c r="J79" s="6" t="s">
        <v>587</v>
      </c>
      <c r="K79" s="6" t="s">
        <v>588</v>
      </c>
      <c r="L79" s="6" t="s">
        <v>589</v>
      </c>
      <c r="M79" s="6">
        <v>100</v>
      </c>
      <c r="N79" s="6" t="s">
        <v>590</v>
      </c>
      <c r="O79" s="6" t="s">
        <v>591</v>
      </c>
      <c r="P79" s="6" t="s">
        <v>37</v>
      </c>
      <c r="Q79" s="7">
        <v>250000</v>
      </c>
      <c r="R79" s="7">
        <v>0</v>
      </c>
      <c r="S79" s="7">
        <v>0</v>
      </c>
      <c r="T79" s="7">
        <f t="shared" si="1"/>
        <v>250000</v>
      </c>
      <c r="U79" s="6" t="s">
        <v>563</v>
      </c>
      <c r="V79" s="6" t="s">
        <v>592</v>
      </c>
      <c r="W79" s="7">
        <v>250000</v>
      </c>
      <c r="X79" s="7">
        <v>250000</v>
      </c>
      <c r="Y79" s="7">
        <v>250000</v>
      </c>
      <c r="Z79" s="7">
        <v>250000</v>
      </c>
      <c r="AA79" s="7">
        <v>250000</v>
      </c>
      <c r="AB79" s="6" t="s">
        <v>575</v>
      </c>
    </row>
    <row r="80" ht="26.4" customHeight="1" spans="1:28">
      <c r="A80" s="2" t="s">
        <v>593</v>
      </c>
      <c r="B80" s="3" t="s">
        <v>28</v>
      </c>
      <c r="C80" s="4">
        <v>140532</v>
      </c>
      <c r="D80" s="5">
        <v>440</v>
      </c>
      <c r="E80" s="6" t="s">
        <v>29</v>
      </c>
      <c r="F80" s="6">
        <v>1992</v>
      </c>
      <c r="G80" s="6" t="s">
        <v>386</v>
      </c>
      <c r="H80" s="6" t="s">
        <v>28</v>
      </c>
      <c r="I80" s="6" t="s">
        <v>594</v>
      </c>
      <c r="J80" s="6" t="s">
        <v>595</v>
      </c>
      <c r="K80" s="6" t="s">
        <v>596</v>
      </c>
      <c r="L80" s="6" t="s">
        <v>597</v>
      </c>
      <c r="M80" s="6">
        <v>100</v>
      </c>
      <c r="N80" s="6" t="s">
        <v>590</v>
      </c>
      <c r="O80" s="6" t="s">
        <v>562</v>
      </c>
      <c r="P80" s="6" t="s">
        <v>37</v>
      </c>
      <c r="Q80" s="7">
        <v>200000</v>
      </c>
      <c r="R80" s="7">
        <v>0</v>
      </c>
      <c r="S80" s="7">
        <v>0</v>
      </c>
      <c r="T80" s="7">
        <f t="shared" si="1"/>
        <v>200000</v>
      </c>
      <c r="U80" s="6" t="s">
        <v>563</v>
      </c>
      <c r="V80" s="6" t="s">
        <v>592</v>
      </c>
      <c r="W80" s="7">
        <v>200000</v>
      </c>
      <c r="X80" s="7">
        <v>200000</v>
      </c>
      <c r="Y80" s="7">
        <v>200000</v>
      </c>
      <c r="Z80" s="7">
        <v>200000</v>
      </c>
      <c r="AA80" s="7">
        <v>200000</v>
      </c>
      <c r="AB80" s="6" t="s">
        <v>575</v>
      </c>
    </row>
    <row r="81" ht="26.4" customHeight="1" spans="1:28">
      <c r="A81" s="8" t="s">
        <v>598</v>
      </c>
      <c r="B81" s="9" t="s">
        <v>28</v>
      </c>
      <c r="C81" s="10">
        <v>222438</v>
      </c>
      <c r="D81" s="11">
        <v>395</v>
      </c>
      <c r="E81" s="6" t="s">
        <v>29</v>
      </c>
      <c r="F81" s="6">
        <v>1997</v>
      </c>
      <c r="G81" s="6" t="s">
        <v>53</v>
      </c>
      <c r="H81" s="6" t="s">
        <v>28</v>
      </c>
      <c r="I81" s="6" t="s">
        <v>599</v>
      </c>
      <c r="J81" s="6" t="s">
        <v>113</v>
      </c>
      <c r="K81" s="6"/>
      <c r="L81" s="6" t="s">
        <v>600</v>
      </c>
      <c r="M81" s="6">
        <v>100</v>
      </c>
      <c r="N81" s="6" t="s">
        <v>572</v>
      </c>
      <c r="O81" s="6" t="s">
        <v>292</v>
      </c>
      <c r="P81" s="6" t="s">
        <v>37</v>
      </c>
      <c r="Q81" s="7">
        <v>340875</v>
      </c>
      <c r="R81" s="7">
        <v>0</v>
      </c>
      <c r="S81" s="7">
        <v>0</v>
      </c>
      <c r="T81" s="7">
        <f t="shared" si="1"/>
        <v>340875</v>
      </c>
      <c r="U81" s="6" t="s">
        <v>601</v>
      </c>
      <c r="V81" s="6" t="s">
        <v>602</v>
      </c>
      <c r="W81" s="7">
        <v>340875</v>
      </c>
      <c r="X81" s="7">
        <v>340875</v>
      </c>
      <c r="Y81" s="7">
        <v>340875</v>
      </c>
      <c r="Z81" s="7">
        <v>340875</v>
      </c>
      <c r="AA81" s="7">
        <v>340875</v>
      </c>
      <c r="AB81" s="6" t="s">
        <v>603</v>
      </c>
    </row>
    <row r="82" ht="39.6" customHeight="1" spans="1:28">
      <c r="A82" s="2" t="s">
        <v>604</v>
      </c>
      <c r="B82" s="3" t="s">
        <v>28</v>
      </c>
      <c r="C82" s="4">
        <v>453789</v>
      </c>
      <c r="D82" s="5">
        <v>297</v>
      </c>
      <c r="E82" s="6" t="s">
        <v>29</v>
      </c>
      <c r="F82" s="6">
        <v>2002</v>
      </c>
      <c r="G82" s="6" t="s">
        <v>605</v>
      </c>
      <c r="H82" s="6" t="s">
        <v>28</v>
      </c>
      <c r="I82" s="6" t="s">
        <v>606</v>
      </c>
      <c r="J82" s="6" t="s">
        <v>607</v>
      </c>
      <c r="K82" s="6" t="s">
        <v>608</v>
      </c>
      <c r="L82" s="6" t="s">
        <v>609</v>
      </c>
      <c r="M82" s="6">
        <v>60</v>
      </c>
      <c r="N82" s="6" t="s">
        <v>572</v>
      </c>
      <c r="O82" s="6" t="s">
        <v>292</v>
      </c>
      <c r="P82" s="6" t="s">
        <v>37</v>
      </c>
      <c r="Q82" s="7"/>
      <c r="R82" s="7"/>
      <c r="S82" s="7"/>
      <c r="T82" s="7" t="str">
        <f t="shared" si="1"/>
        <v/>
      </c>
      <c r="U82" s="6" t="s">
        <v>563</v>
      </c>
      <c r="V82" s="6" t="s">
        <v>610</v>
      </c>
      <c r="W82" s="7"/>
      <c r="X82" s="7"/>
      <c r="Y82" s="7"/>
      <c r="Z82" s="7"/>
      <c r="AA82" s="7"/>
      <c r="AB82" s="6" t="s">
        <v>575</v>
      </c>
    </row>
    <row r="83" ht="39.6" customHeight="1" spans="1:28">
      <c r="A83" s="8" t="s">
        <v>611</v>
      </c>
      <c r="B83" s="9" t="s">
        <v>28</v>
      </c>
      <c r="C83" s="10">
        <v>488147</v>
      </c>
      <c r="D83" s="11">
        <v>286</v>
      </c>
      <c r="E83" s="6" t="s">
        <v>29</v>
      </c>
      <c r="F83" s="6">
        <v>2017</v>
      </c>
      <c r="G83" s="6" t="s">
        <v>612</v>
      </c>
      <c r="H83" s="6" t="s">
        <v>28</v>
      </c>
      <c r="I83" s="6" t="s">
        <v>613</v>
      </c>
      <c r="J83" s="6" t="s">
        <v>614</v>
      </c>
      <c r="K83" s="6" t="s">
        <v>615</v>
      </c>
      <c r="L83" s="6" t="s">
        <v>616</v>
      </c>
      <c r="M83" s="6">
        <v>60</v>
      </c>
      <c r="N83" s="6" t="s">
        <v>35</v>
      </c>
      <c r="O83" s="6" t="s">
        <v>292</v>
      </c>
      <c r="P83" s="6" t="s">
        <v>37</v>
      </c>
      <c r="Q83" s="7">
        <v>340875</v>
      </c>
      <c r="R83" s="7">
        <v>0</v>
      </c>
      <c r="S83" s="7">
        <v>0</v>
      </c>
      <c r="T83" s="7">
        <f t="shared" si="1"/>
        <v>340875</v>
      </c>
      <c r="U83" s="6" t="s">
        <v>601</v>
      </c>
      <c r="V83" s="6" t="s">
        <v>617</v>
      </c>
      <c r="W83" s="7">
        <v>340875</v>
      </c>
      <c r="X83" s="7">
        <v>340875</v>
      </c>
      <c r="Y83" s="7">
        <v>340875</v>
      </c>
      <c r="Z83" s="7">
        <v>340875</v>
      </c>
      <c r="AA83" s="7">
        <v>340875</v>
      </c>
      <c r="AB83" s="6" t="s">
        <v>575</v>
      </c>
    </row>
    <row r="84" ht="26.4" customHeight="1" spans="1:28">
      <c r="A84" s="2" t="s">
        <v>618</v>
      </c>
      <c r="B84" s="3" t="s">
        <v>28</v>
      </c>
      <c r="C84" s="4">
        <v>516890</v>
      </c>
      <c r="D84" s="5">
        <v>277</v>
      </c>
      <c r="E84" s="6" t="s">
        <v>29</v>
      </c>
      <c r="F84" s="6">
        <v>1943</v>
      </c>
      <c r="G84" s="6" t="s">
        <v>78</v>
      </c>
      <c r="H84" s="6" t="s">
        <v>28</v>
      </c>
      <c r="I84" s="6" t="s">
        <v>619</v>
      </c>
      <c r="J84" s="6" t="s">
        <v>620</v>
      </c>
      <c r="K84" s="6" t="s">
        <v>621</v>
      </c>
      <c r="L84" s="6" t="s">
        <v>622</v>
      </c>
      <c r="M84" s="6">
        <v>60</v>
      </c>
      <c r="N84" s="6" t="s">
        <v>35</v>
      </c>
      <c r="O84" s="6" t="s">
        <v>623</v>
      </c>
      <c r="P84" s="6" t="s">
        <v>37</v>
      </c>
      <c r="Q84" s="7">
        <v>200000</v>
      </c>
      <c r="R84" s="7">
        <v>0</v>
      </c>
      <c r="S84" s="7">
        <v>0</v>
      </c>
      <c r="T84" s="7">
        <f t="shared" si="1"/>
        <v>200000</v>
      </c>
      <c r="U84" s="6" t="s">
        <v>563</v>
      </c>
      <c r="V84" s="6" t="s">
        <v>592</v>
      </c>
      <c r="W84" s="7">
        <v>200000</v>
      </c>
      <c r="X84" s="7">
        <v>200000</v>
      </c>
      <c r="Y84" s="7">
        <v>200000</v>
      </c>
      <c r="Z84" s="7">
        <v>200000</v>
      </c>
      <c r="AA84" s="7">
        <v>200000</v>
      </c>
      <c r="AB84" s="6" t="s">
        <v>575</v>
      </c>
    </row>
    <row r="85" ht="26.4" customHeight="1" spans="1:28">
      <c r="A85" s="8" t="s">
        <v>624</v>
      </c>
      <c r="B85" s="9" t="s">
        <v>28</v>
      </c>
      <c r="C85" s="10">
        <v>481439</v>
      </c>
      <c r="D85" s="11">
        <v>288</v>
      </c>
      <c r="E85" s="6" t="s">
        <v>29</v>
      </c>
      <c r="F85" s="6">
        <v>2024</v>
      </c>
      <c r="G85" s="6" t="s">
        <v>625</v>
      </c>
      <c r="H85" s="6" t="s">
        <v>28</v>
      </c>
      <c r="I85" s="6" t="s">
        <v>626</v>
      </c>
      <c r="J85" s="6" t="s">
        <v>627</v>
      </c>
      <c r="K85" s="6"/>
      <c r="L85" s="6" t="s">
        <v>628</v>
      </c>
      <c r="M85" s="6">
        <v>60</v>
      </c>
      <c r="N85" s="6" t="s">
        <v>35</v>
      </c>
      <c r="O85" s="6" t="s">
        <v>292</v>
      </c>
      <c r="P85" s="6" t="s">
        <v>37</v>
      </c>
      <c r="Q85" s="7"/>
      <c r="R85" s="7"/>
      <c r="S85" s="7"/>
      <c r="T85" s="7" t="str">
        <f t="shared" si="1"/>
        <v/>
      </c>
      <c r="U85" s="6" t="s">
        <v>563</v>
      </c>
      <c r="V85" s="6" t="s">
        <v>629</v>
      </c>
      <c r="W85" s="7"/>
      <c r="X85" s="7"/>
      <c r="Y85" s="7"/>
      <c r="Z85" s="7"/>
      <c r="AA85" s="7"/>
      <c r="AB85" s="6" t="s">
        <v>575</v>
      </c>
    </row>
    <row r="86" ht="26.4" customHeight="1" spans="1:28">
      <c r="A86" s="2" t="s">
        <v>630</v>
      </c>
      <c r="B86" s="3" t="s">
        <v>28</v>
      </c>
      <c r="C86" s="4">
        <v>203854</v>
      </c>
      <c r="D86" s="5">
        <v>404</v>
      </c>
      <c r="E86" s="6" t="s">
        <v>29</v>
      </c>
      <c r="F86" s="6">
        <v>2004</v>
      </c>
      <c r="G86" s="6" t="s">
        <v>53</v>
      </c>
      <c r="H86" s="6" t="s">
        <v>28</v>
      </c>
      <c r="I86" s="6" t="s">
        <v>631</v>
      </c>
      <c r="J86" s="6" t="s">
        <v>632</v>
      </c>
      <c r="K86" s="6" t="s">
        <v>633</v>
      </c>
      <c r="L86" s="6" t="s">
        <v>634</v>
      </c>
      <c r="M86" s="6">
        <v>100</v>
      </c>
      <c r="N86" s="6" t="s">
        <v>47</v>
      </c>
      <c r="O86" s="6" t="s">
        <v>326</v>
      </c>
      <c r="P86" s="6" t="s">
        <v>37</v>
      </c>
      <c r="Q86" s="7">
        <v>340875</v>
      </c>
      <c r="R86" s="7">
        <v>0</v>
      </c>
      <c r="S86" s="7">
        <v>0</v>
      </c>
      <c r="T86" s="7">
        <f t="shared" si="1"/>
        <v>340875</v>
      </c>
      <c r="U86" s="6" t="s">
        <v>601</v>
      </c>
      <c r="V86" s="6" t="s">
        <v>635</v>
      </c>
      <c r="W86" s="7">
        <v>340875</v>
      </c>
      <c r="X86" s="7">
        <v>340875</v>
      </c>
      <c r="Y86" s="7">
        <v>340875</v>
      </c>
      <c r="Z86" s="7">
        <v>340875</v>
      </c>
      <c r="AA86" s="7">
        <v>340875</v>
      </c>
      <c r="AB86" s="6" t="s">
        <v>575</v>
      </c>
    </row>
    <row r="87" ht="26.4" customHeight="1" spans="1:28">
      <c r="A87" s="8" t="s">
        <v>636</v>
      </c>
      <c r="B87" s="9" t="s">
        <v>28</v>
      </c>
      <c r="C87" s="10">
        <v>451981</v>
      </c>
      <c r="D87" s="11">
        <v>298</v>
      </c>
      <c r="E87" s="6" t="s">
        <v>29</v>
      </c>
      <c r="F87" s="6">
        <v>1992</v>
      </c>
      <c r="G87" s="6" t="s">
        <v>637</v>
      </c>
      <c r="H87" s="6" t="s">
        <v>28</v>
      </c>
      <c r="I87" s="6" t="s">
        <v>638</v>
      </c>
      <c r="J87" s="6" t="s">
        <v>639</v>
      </c>
      <c r="K87" s="6" t="s">
        <v>640</v>
      </c>
      <c r="L87" s="6" t="s">
        <v>641</v>
      </c>
      <c r="M87" s="6">
        <v>60</v>
      </c>
      <c r="N87" s="6" t="s">
        <v>35</v>
      </c>
      <c r="O87" s="6" t="s">
        <v>292</v>
      </c>
      <c r="P87" s="6" t="s">
        <v>37</v>
      </c>
      <c r="Q87" s="7"/>
      <c r="R87" s="7"/>
      <c r="S87" s="7"/>
      <c r="T87" s="7" t="str">
        <f t="shared" si="1"/>
        <v/>
      </c>
      <c r="U87" s="6" t="s">
        <v>563</v>
      </c>
      <c r="V87" s="6" t="s">
        <v>642</v>
      </c>
      <c r="W87" s="7"/>
      <c r="X87" s="7"/>
      <c r="Y87" s="7"/>
      <c r="Z87" s="7"/>
      <c r="AA87" s="7"/>
      <c r="AB87" s="6" t="s">
        <v>575</v>
      </c>
    </row>
    <row r="88" ht="26.4" customHeight="1" spans="1:28">
      <c r="A88" s="2" t="s">
        <v>643</v>
      </c>
      <c r="B88" s="3" t="s">
        <v>28</v>
      </c>
      <c r="C88" s="4">
        <v>284693</v>
      </c>
      <c r="D88" s="5">
        <v>365</v>
      </c>
      <c r="E88" s="6" t="s">
        <v>29</v>
      </c>
      <c r="F88" s="6">
        <v>2002</v>
      </c>
      <c r="G88" s="6" t="s">
        <v>644</v>
      </c>
      <c r="H88" s="6" t="s">
        <v>28</v>
      </c>
      <c r="I88" s="6" t="s">
        <v>645</v>
      </c>
      <c r="J88" s="6" t="s">
        <v>646</v>
      </c>
      <c r="K88" s="6" t="s">
        <v>647</v>
      </c>
      <c r="L88" s="6" t="s">
        <v>648</v>
      </c>
      <c r="M88" s="6">
        <v>100</v>
      </c>
      <c r="N88" s="6" t="s">
        <v>35</v>
      </c>
      <c r="O88" s="6" t="s">
        <v>292</v>
      </c>
      <c r="P88" s="6" t="s">
        <v>37</v>
      </c>
      <c r="Q88" s="7">
        <v>340875</v>
      </c>
      <c r="R88" s="7">
        <v>0</v>
      </c>
      <c r="S88" s="7">
        <v>0</v>
      </c>
      <c r="T88" s="7">
        <f t="shared" si="1"/>
        <v>340875</v>
      </c>
      <c r="U88" s="6" t="s">
        <v>601</v>
      </c>
      <c r="V88" s="6" t="s">
        <v>649</v>
      </c>
      <c r="W88" s="7">
        <v>340875</v>
      </c>
      <c r="X88" s="7">
        <v>340875</v>
      </c>
      <c r="Y88" s="7">
        <v>340875</v>
      </c>
      <c r="Z88" s="7">
        <v>340875</v>
      </c>
      <c r="AA88" s="7">
        <v>340875</v>
      </c>
      <c r="AB88" s="6" t="s">
        <v>650</v>
      </c>
    </row>
    <row r="89" ht="26.4" customHeight="1" spans="1:28">
      <c r="A89" s="8" t="s">
        <v>651</v>
      </c>
      <c r="B89" s="9" t="s">
        <v>28</v>
      </c>
      <c r="C89" s="10">
        <v>511580</v>
      </c>
      <c r="D89" s="11">
        <v>277</v>
      </c>
      <c r="E89" s="6" t="s">
        <v>29</v>
      </c>
      <c r="F89" s="6">
        <v>2021</v>
      </c>
      <c r="G89" s="6" t="s">
        <v>104</v>
      </c>
      <c r="H89" s="6" t="s">
        <v>28</v>
      </c>
      <c r="I89" s="6" t="s">
        <v>652</v>
      </c>
      <c r="J89" s="6" t="s">
        <v>653</v>
      </c>
      <c r="K89" s="6" t="s">
        <v>654</v>
      </c>
      <c r="L89" s="6" t="s">
        <v>655</v>
      </c>
      <c r="M89" s="6">
        <v>42</v>
      </c>
      <c r="N89" s="6" t="s">
        <v>35</v>
      </c>
      <c r="O89" s="6" t="s">
        <v>292</v>
      </c>
      <c r="P89" s="6" t="s">
        <v>37</v>
      </c>
      <c r="Q89" s="7">
        <v>175000</v>
      </c>
      <c r="R89" s="7">
        <v>0</v>
      </c>
      <c r="S89" s="7">
        <v>0</v>
      </c>
      <c r="T89" s="7">
        <f t="shared" si="1"/>
        <v>175000</v>
      </c>
      <c r="U89" s="6" t="s">
        <v>563</v>
      </c>
      <c r="V89" s="6" t="s">
        <v>592</v>
      </c>
      <c r="W89" s="7">
        <v>175000</v>
      </c>
      <c r="X89" s="7">
        <v>175000</v>
      </c>
      <c r="Y89" s="7">
        <v>175000</v>
      </c>
      <c r="Z89" s="7">
        <v>175000</v>
      </c>
      <c r="AA89" s="7">
        <v>175000</v>
      </c>
      <c r="AB89" s="6" t="s">
        <v>575</v>
      </c>
    </row>
    <row r="90" spans="1:28">
      <c r="A90" s="2" t="s">
        <v>656</v>
      </c>
      <c r="B90" s="3" t="s">
        <v>28</v>
      </c>
      <c r="C90" s="4">
        <v>575273</v>
      </c>
      <c r="D90" s="5">
        <v>259</v>
      </c>
      <c r="E90" s="6" t="s">
        <v>29</v>
      </c>
      <c r="F90" s="6">
        <v>2021</v>
      </c>
      <c r="G90" s="6" t="s">
        <v>657</v>
      </c>
      <c r="H90" s="6" t="s">
        <v>28</v>
      </c>
      <c r="I90" s="6" t="s">
        <v>658</v>
      </c>
      <c r="J90" s="6"/>
      <c r="K90" s="6" t="s">
        <v>659</v>
      </c>
      <c r="L90" s="6" t="s">
        <v>660</v>
      </c>
      <c r="M90" s="6">
        <v>60</v>
      </c>
      <c r="N90" s="6" t="s">
        <v>35</v>
      </c>
      <c r="O90" s="6" t="s">
        <v>292</v>
      </c>
      <c r="P90" s="6" t="s">
        <v>37</v>
      </c>
      <c r="Q90" s="7"/>
      <c r="R90" s="7"/>
      <c r="S90" s="7"/>
      <c r="T90" s="7" t="str">
        <f t="shared" si="1"/>
        <v/>
      </c>
      <c r="U90" s="6" t="s">
        <v>563</v>
      </c>
      <c r="V90" s="6" t="s">
        <v>661</v>
      </c>
      <c r="W90" s="7"/>
      <c r="X90" s="7"/>
      <c r="Y90" s="7"/>
      <c r="Z90" s="7"/>
      <c r="AA90" s="7"/>
      <c r="AB90" s="6" t="s">
        <v>575</v>
      </c>
    </row>
    <row r="91" ht="26.4" customHeight="1" spans="1:28">
      <c r="A91" s="8" t="s">
        <v>662</v>
      </c>
      <c r="B91" s="9" t="s">
        <v>28</v>
      </c>
      <c r="C91" s="10">
        <v>506766</v>
      </c>
      <c r="D91" s="11">
        <v>280</v>
      </c>
      <c r="E91" s="6" t="s">
        <v>29</v>
      </c>
      <c r="F91" s="6">
        <v>1991</v>
      </c>
      <c r="G91" s="6" t="s">
        <v>137</v>
      </c>
      <c r="H91" s="6" t="s">
        <v>28</v>
      </c>
      <c r="I91" s="6" t="s">
        <v>663</v>
      </c>
      <c r="J91" s="6" t="s">
        <v>664</v>
      </c>
      <c r="K91" s="6"/>
      <c r="L91" s="6" t="s">
        <v>665</v>
      </c>
      <c r="M91" s="6">
        <v>60</v>
      </c>
      <c r="N91" s="6" t="s">
        <v>35</v>
      </c>
      <c r="O91" s="6" t="s">
        <v>292</v>
      </c>
      <c r="P91" s="6" t="s">
        <v>37</v>
      </c>
      <c r="Q91" s="7"/>
      <c r="R91" s="7"/>
      <c r="S91" s="7"/>
      <c r="T91" s="7" t="str">
        <f t="shared" si="1"/>
        <v/>
      </c>
      <c r="U91" s="6" t="s">
        <v>563</v>
      </c>
      <c r="V91" s="6" t="s">
        <v>666</v>
      </c>
      <c r="W91" s="7"/>
      <c r="X91" s="7"/>
      <c r="Y91" s="7"/>
      <c r="Z91" s="7"/>
      <c r="AA91" s="7"/>
      <c r="AB91" s="6" t="s">
        <v>575</v>
      </c>
    </row>
    <row r="92" ht="39.6" customHeight="1" spans="1:28">
      <c r="A92" s="2" t="s">
        <v>667</v>
      </c>
      <c r="B92" s="3" t="s">
        <v>28</v>
      </c>
      <c r="C92" s="4">
        <v>537491</v>
      </c>
      <c r="D92" s="5">
        <v>270</v>
      </c>
      <c r="E92" s="6" t="s">
        <v>29</v>
      </c>
      <c r="F92" s="6">
        <v>1991</v>
      </c>
      <c r="G92" s="6" t="s">
        <v>668</v>
      </c>
      <c r="H92" s="6" t="s">
        <v>28</v>
      </c>
      <c r="I92" s="6" t="s">
        <v>669</v>
      </c>
      <c r="J92" s="6" t="s">
        <v>670</v>
      </c>
      <c r="K92" s="6"/>
      <c r="L92" s="6"/>
      <c r="M92" s="6">
        <v>60</v>
      </c>
      <c r="N92" s="6" t="s">
        <v>35</v>
      </c>
      <c r="O92" s="6" t="s">
        <v>292</v>
      </c>
      <c r="P92" s="6" t="s">
        <v>37</v>
      </c>
      <c r="Q92" s="7">
        <v>200000</v>
      </c>
      <c r="R92" s="7">
        <v>0</v>
      </c>
      <c r="S92" s="7">
        <v>0</v>
      </c>
      <c r="T92" s="7">
        <f t="shared" si="1"/>
        <v>200000</v>
      </c>
      <c r="U92" s="6" t="s">
        <v>563</v>
      </c>
      <c r="V92" s="6" t="s">
        <v>671</v>
      </c>
      <c r="W92" s="7">
        <v>200000</v>
      </c>
      <c r="X92" s="7">
        <v>200000</v>
      </c>
      <c r="Y92" s="7">
        <v>200000</v>
      </c>
      <c r="Z92" s="7">
        <v>200000</v>
      </c>
      <c r="AA92" s="7">
        <v>200000</v>
      </c>
      <c r="AB92" s="6" t="s">
        <v>575</v>
      </c>
    </row>
    <row r="93" spans="1:28">
      <c r="A93" s="8" t="s">
        <v>672</v>
      </c>
      <c r="B93" s="9" t="s">
        <v>28</v>
      </c>
      <c r="C93" s="10">
        <v>423022</v>
      </c>
      <c r="D93" s="11">
        <v>308</v>
      </c>
      <c r="E93" s="6" t="s">
        <v>29</v>
      </c>
      <c r="F93" s="6">
        <v>2015</v>
      </c>
      <c r="G93" s="6" t="s">
        <v>104</v>
      </c>
      <c r="H93" s="6" t="s">
        <v>28</v>
      </c>
      <c r="I93" s="6" t="s">
        <v>673</v>
      </c>
      <c r="J93" s="6" t="s">
        <v>674</v>
      </c>
      <c r="K93" s="6" t="s">
        <v>675</v>
      </c>
      <c r="L93" s="6" t="s">
        <v>676</v>
      </c>
      <c r="M93" s="6">
        <v>60</v>
      </c>
      <c r="N93" s="6" t="s">
        <v>35</v>
      </c>
      <c r="O93" s="6" t="s">
        <v>292</v>
      </c>
      <c r="P93" s="6" t="s">
        <v>37</v>
      </c>
      <c r="Q93" s="7">
        <v>175000</v>
      </c>
      <c r="R93" s="7">
        <v>0</v>
      </c>
      <c r="S93" s="7">
        <v>0</v>
      </c>
      <c r="T93" s="7">
        <f t="shared" si="1"/>
        <v>175000</v>
      </c>
      <c r="U93" s="6" t="s">
        <v>563</v>
      </c>
      <c r="V93" s="6" t="s">
        <v>592</v>
      </c>
      <c r="W93" s="7">
        <v>175000</v>
      </c>
      <c r="X93" s="7">
        <v>175000</v>
      </c>
      <c r="Y93" s="7">
        <v>175000</v>
      </c>
      <c r="Z93" s="7">
        <v>175000</v>
      </c>
      <c r="AA93" s="7">
        <v>175000</v>
      </c>
      <c r="AB93" s="6" t="s">
        <v>575</v>
      </c>
    </row>
    <row r="94" ht="26.4" customHeight="1" spans="1:28">
      <c r="A94" s="2" t="s">
        <v>677</v>
      </c>
      <c r="B94" s="3" t="s">
        <v>28</v>
      </c>
      <c r="C94" s="4"/>
      <c r="D94" s="5"/>
      <c r="E94" s="6" t="s">
        <v>678</v>
      </c>
      <c r="F94" s="6">
        <v>1976</v>
      </c>
      <c r="G94" s="6" t="s">
        <v>679</v>
      </c>
      <c r="H94" s="6" t="s">
        <v>28</v>
      </c>
      <c r="I94" s="6" t="s">
        <v>680</v>
      </c>
      <c r="J94" s="6" t="s">
        <v>681</v>
      </c>
      <c r="K94" s="6" t="s">
        <v>682</v>
      </c>
      <c r="L94" s="6" t="s">
        <v>683</v>
      </c>
      <c r="M94" s="6">
        <v>47</v>
      </c>
      <c r="N94" s="6" t="s">
        <v>572</v>
      </c>
      <c r="O94" s="6" t="s">
        <v>292</v>
      </c>
      <c r="P94" s="6" t="s">
        <v>37</v>
      </c>
      <c r="Q94" s="7">
        <v>115875</v>
      </c>
      <c r="R94" s="7">
        <v>0</v>
      </c>
      <c r="S94" s="7">
        <v>0</v>
      </c>
      <c r="T94" s="7">
        <f t="shared" si="1"/>
        <v>115875</v>
      </c>
      <c r="U94" s="6" t="s">
        <v>684</v>
      </c>
      <c r="V94" s="6" t="s">
        <v>685</v>
      </c>
      <c r="W94" s="7">
        <v>115875</v>
      </c>
      <c r="X94" s="7">
        <v>115875</v>
      </c>
      <c r="Y94" s="7">
        <v>115875</v>
      </c>
      <c r="Z94" s="7">
        <v>115875</v>
      </c>
      <c r="AA94" s="7">
        <v>115875</v>
      </c>
      <c r="AB94" s="6" t="s">
        <v>686</v>
      </c>
    </row>
    <row r="95" ht="26.4" customHeight="1" spans="1:28">
      <c r="A95" s="8" t="s">
        <v>687</v>
      </c>
      <c r="B95" s="9" t="s">
        <v>28</v>
      </c>
      <c r="C95" s="10">
        <v>540428</v>
      </c>
      <c r="D95" s="11">
        <v>269</v>
      </c>
      <c r="E95" s="6" t="s">
        <v>29</v>
      </c>
      <c r="F95" s="6">
        <v>1997</v>
      </c>
      <c r="G95" s="6" t="s">
        <v>331</v>
      </c>
      <c r="H95" s="6" t="s">
        <v>28</v>
      </c>
      <c r="I95" s="6" t="s">
        <v>688</v>
      </c>
      <c r="J95" s="6" t="s">
        <v>689</v>
      </c>
      <c r="K95" s="6" t="s">
        <v>690</v>
      </c>
      <c r="L95" s="6" t="s">
        <v>691</v>
      </c>
      <c r="M95" s="6">
        <v>60</v>
      </c>
      <c r="N95" s="6" t="s">
        <v>35</v>
      </c>
      <c r="O95" s="6" t="s">
        <v>292</v>
      </c>
      <c r="P95" s="6" t="s">
        <v>37</v>
      </c>
      <c r="Q95" s="7"/>
      <c r="R95" s="7"/>
      <c r="S95" s="7"/>
      <c r="T95" s="7" t="str">
        <f t="shared" si="1"/>
        <v/>
      </c>
      <c r="U95" s="6" t="s">
        <v>563</v>
      </c>
      <c r="V95" s="6" t="s">
        <v>692</v>
      </c>
      <c r="W95" s="7"/>
      <c r="X95" s="7"/>
      <c r="Y95" s="7"/>
      <c r="Z95" s="7"/>
      <c r="AA95" s="7"/>
      <c r="AB95" s="6" t="s">
        <v>575</v>
      </c>
    </row>
    <row r="96" spans="1:28">
      <c r="A96" s="2" t="s">
        <v>693</v>
      </c>
      <c r="B96" s="3" t="s">
        <v>694</v>
      </c>
      <c r="C96" s="4">
        <v>736248</v>
      </c>
      <c r="D96" s="5">
        <v>215</v>
      </c>
      <c r="E96" s="6" t="s">
        <v>29</v>
      </c>
      <c r="F96" s="6">
        <v>2019</v>
      </c>
      <c r="G96" s="6" t="s">
        <v>695</v>
      </c>
      <c r="H96" s="6" t="s">
        <v>694</v>
      </c>
      <c r="I96" s="6" t="s">
        <v>696</v>
      </c>
      <c r="J96" s="6" t="s">
        <v>697</v>
      </c>
      <c r="K96" s="6" t="s">
        <v>698</v>
      </c>
      <c r="L96" s="6" t="s">
        <v>699</v>
      </c>
      <c r="M96" s="6">
        <v>100</v>
      </c>
      <c r="N96" s="6" t="s">
        <v>35</v>
      </c>
      <c r="O96" s="6" t="s">
        <v>700</v>
      </c>
      <c r="P96" s="6" t="s">
        <v>37</v>
      </c>
      <c r="Q96" s="7">
        <v>380000</v>
      </c>
      <c r="R96" s="7">
        <v>0</v>
      </c>
      <c r="S96" s="7">
        <v>0</v>
      </c>
      <c r="T96" s="7">
        <f t="shared" si="1"/>
        <v>380000</v>
      </c>
      <c r="U96" s="6" t="s">
        <v>701</v>
      </c>
      <c r="V96" s="6" t="s">
        <v>702</v>
      </c>
      <c r="W96" s="7">
        <v>380000</v>
      </c>
      <c r="X96" s="7">
        <v>380000</v>
      </c>
      <c r="Y96" s="7">
        <v>380000</v>
      </c>
      <c r="Z96" s="7">
        <v>380000</v>
      </c>
      <c r="AA96" s="7">
        <v>380000</v>
      </c>
      <c r="AB96" s="6" t="s">
        <v>703</v>
      </c>
    </row>
    <row r="97" spans="1:28">
      <c r="A97" s="8" t="s">
        <v>704</v>
      </c>
      <c r="B97" s="9" t="s">
        <v>694</v>
      </c>
      <c r="C97" s="10">
        <v>458900</v>
      </c>
      <c r="D97" s="11">
        <v>295</v>
      </c>
      <c r="E97" s="6" t="s">
        <v>29</v>
      </c>
      <c r="F97" s="6">
        <v>2022</v>
      </c>
      <c r="G97" s="6" t="s">
        <v>705</v>
      </c>
      <c r="H97" s="6" t="s">
        <v>694</v>
      </c>
      <c r="I97" s="6" t="s">
        <v>706</v>
      </c>
      <c r="J97" s="6" t="s">
        <v>707</v>
      </c>
      <c r="K97" s="6" t="s">
        <v>708</v>
      </c>
      <c r="L97" s="6" t="s">
        <v>709</v>
      </c>
      <c r="M97" s="6">
        <v>60</v>
      </c>
      <c r="N97" s="6" t="s">
        <v>35</v>
      </c>
      <c r="O97" s="6" t="s">
        <v>292</v>
      </c>
      <c r="P97" s="6" t="s">
        <v>37</v>
      </c>
      <c r="Q97" s="7">
        <v>213000</v>
      </c>
      <c r="R97" s="7">
        <v>0</v>
      </c>
      <c r="S97" s="7">
        <v>0</v>
      </c>
      <c r="T97" s="7">
        <f t="shared" si="1"/>
        <v>213000</v>
      </c>
      <c r="U97" s="6" t="s">
        <v>710</v>
      </c>
      <c r="V97" s="6" t="s">
        <v>711</v>
      </c>
      <c r="W97" s="7">
        <v>213000</v>
      </c>
      <c r="X97" s="7">
        <v>213000</v>
      </c>
      <c r="Y97" s="7">
        <v>213000</v>
      </c>
      <c r="Z97" s="7">
        <v>213000</v>
      </c>
      <c r="AA97" s="7">
        <v>213000</v>
      </c>
      <c r="AB97" s="6" t="s">
        <v>712</v>
      </c>
    </row>
    <row r="98" ht="26.4" customHeight="1" spans="1:28">
      <c r="A98" s="2" t="s">
        <v>713</v>
      </c>
      <c r="B98" s="3" t="s">
        <v>694</v>
      </c>
      <c r="C98" s="4">
        <v>961840</v>
      </c>
      <c r="D98" s="5">
        <v>167</v>
      </c>
      <c r="E98" s="6" t="s">
        <v>714</v>
      </c>
      <c r="F98" s="6"/>
      <c r="G98" s="6" t="s">
        <v>705</v>
      </c>
      <c r="H98" s="6" t="s">
        <v>694</v>
      </c>
      <c r="I98" s="6" t="s">
        <v>715</v>
      </c>
      <c r="J98" s="6" t="s">
        <v>716</v>
      </c>
      <c r="K98" s="6" t="s">
        <v>717</v>
      </c>
      <c r="L98" s="6" t="s">
        <v>718</v>
      </c>
      <c r="M98" s="6">
        <v>60</v>
      </c>
      <c r="N98" s="6" t="s">
        <v>35</v>
      </c>
      <c r="O98" s="6" t="s">
        <v>719</v>
      </c>
      <c r="P98" s="6" t="s">
        <v>37</v>
      </c>
      <c r="Q98" s="7"/>
      <c r="R98" s="7"/>
      <c r="S98" s="7"/>
      <c r="T98" s="7" t="str">
        <f t="shared" si="1"/>
        <v/>
      </c>
      <c r="U98" s="6" t="s">
        <v>710</v>
      </c>
      <c r="V98" s="6" t="s">
        <v>720</v>
      </c>
      <c r="W98" s="7"/>
      <c r="X98" s="7"/>
      <c r="Y98" s="7"/>
      <c r="Z98" s="7"/>
      <c r="AA98" s="7"/>
      <c r="AB98" s="6" t="s">
        <v>721</v>
      </c>
    </row>
    <row r="99" spans="1:28">
      <c r="A99" s="8" t="s">
        <v>722</v>
      </c>
      <c r="B99" s="9" t="s">
        <v>694</v>
      </c>
      <c r="C99" s="10">
        <v>651489</v>
      </c>
      <c r="D99" s="11">
        <v>236</v>
      </c>
      <c r="E99" s="6" t="s">
        <v>29</v>
      </c>
      <c r="F99" s="6">
        <v>2016</v>
      </c>
      <c r="G99" s="6" t="s">
        <v>705</v>
      </c>
      <c r="H99" s="6" t="s">
        <v>694</v>
      </c>
      <c r="I99" s="6" t="s">
        <v>723</v>
      </c>
      <c r="J99" s="6" t="s">
        <v>724</v>
      </c>
      <c r="K99" s="6" t="s">
        <v>725</v>
      </c>
      <c r="L99" s="6" t="s">
        <v>726</v>
      </c>
      <c r="M99" s="6">
        <v>60</v>
      </c>
      <c r="N99" s="6" t="s">
        <v>35</v>
      </c>
      <c r="O99" s="6" t="s">
        <v>292</v>
      </c>
      <c r="P99" s="6"/>
      <c r="Q99" s="7">
        <v>185000</v>
      </c>
      <c r="R99" s="7">
        <v>0</v>
      </c>
      <c r="S99" s="7">
        <v>0</v>
      </c>
      <c r="T99" s="7">
        <f t="shared" si="1"/>
        <v>185000</v>
      </c>
      <c r="U99" s="6" t="s">
        <v>710</v>
      </c>
      <c r="V99" s="6" t="s">
        <v>727</v>
      </c>
      <c r="W99" s="7">
        <v>185000</v>
      </c>
      <c r="X99" s="7">
        <v>185000</v>
      </c>
      <c r="Y99" s="7">
        <v>185000</v>
      </c>
      <c r="Z99" s="7">
        <v>185000</v>
      </c>
      <c r="AA99" s="7">
        <v>185000</v>
      </c>
      <c r="AB99" s="6" t="s">
        <v>712</v>
      </c>
    </row>
    <row r="100" ht="26.4" customHeight="1" spans="1:28">
      <c r="A100" s="2" t="s">
        <v>728</v>
      </c>
      <c r="B100" s="3" t="s">
        <v>694</v>
      </c>
      <c r="C100" s="4">
        <v>1088549</v>
      </c>
      <c r="D100" s="5">
        <v>145</v>
      </c>
      <c r="E100" s="6" t="s">
        <v>714</v>
      </c>
      <c r="F100" s="6">
        <v>2020</v>
      </c>
      <c r="G100" s="6" t="s">
        <v>729</v>
      </c>
      <c r="H100" s="6" t="s">
        <v>694</v>
      </c>
      <c r="I100" s="6" t="s">
        <v>730</v>
      </c>
      <c r="J100" s="6" t="s">
        <v>731</v>
      </c>
      <c r="K100" s="6" t="s">
        <v>732</v>
      </c>
      <c r="L100" s="6" t="s">
        <v>733</v>
      </c>
      <c r="M100" s="6">
        <v>100</v>
      </c>
      <c r="N100" s="6" t="s">
        <v>35</v>
      </c>
      <c r="O100" s="6" t="s">
        <v>292</v>
      </c>
      <c r="P100" s="6"/>
      <c r="Q100" s="7">
        <v>500700</v>
      </c>
      <c r="R100" s="7">
        <v>0</v>
      </c>
      <c r="S100" s="7">
        <v>0</v>
      </c>
      <c r="T100" s="7">
        <f t="shared" si="1"/>
        <v>500700</v>
      </c>
      <c r="U100" s="6" t="s">
        <v>710</v>
      </c>
      <c r="V100" s="6" t="s">
        <v>734</v>
      </c>
      <c r="W100" s="7">
        <v>500700</v>
      </c>
      <c r="X100" s="7">
        <v>500700</v>
      </c>
      <c r="Y100" s="7">
        <v>500700</v>
      </c>
      <c r="Z100" s="7">
        <v>500700</v>
      </c>
      <c r="AA100" s="7">
        <v>500700</v>
      </c>
      <c r="AB100" s="6" t="s">
        <v>712</v>
      </c>
    </row>
    <row r="101" spans="1:28">
      <c r="A101" s="8" t="s">
        <v>735</v>
      </c>
      <c r="B101" s="9" t="s">
        <v>694</v>
      </c>
      <c r="C101" s="10">
        <v>392539</v>
      </c>
      <c r="D101" s="11">
        <v>319</v>
      </c>
      <c r="E101" s="6" t="s">
        <v>714</v>
      </c>
      <c r="F101" s="6">
        <v>2017</v>
      </c>
      <c r="G101" s="6" t="s">
        <v>705</v>
      </c>
      <c r="H101" s="6" t="s">
        <v>694</v>
      </c>
      <c r="I101" s="6" t="s">
        <v>736</v>
      </c>
      <c r="J101" s="6" t="s">
        <v>737</v>
      </c>
      <c r="K101" s="6" t="s">
        <v>738</v>
      </c>
      <c r="L101" s="6" t="s">
        <v>739</v>
      </c>
      <c r="M101" s="6">
        <v>100</v>
      </c>
      <c r="N101" s="6" t="s">
        <v>740</v>
      </c>
      <c r="O101" s="6" t="s">
        <v>292</v>
      </c>
      <c r="P101" s="6"/>
      <c r="Q101" s="7">
        <v>400000</v>
      </c>
      <c r="R101" s="7">
        <v>0</v>
      </c>
      <c r="S101" s="7">
        <v>30000</v>
      </c>
      <c r="T101" s="7">
        <f t="shared" si="1"/>
        <v>430000</v>
      </c>
      <c r="U101" s="6" t="s">
        <v>741</v>
      </c>
      <c r="V101" s="6" t="s">
        <v>742</v>
      </c>
      <c r="W101" s="7">
        <v>430000</v>
      </c>
      <c r="X101" s="7">
        <v>430000</v>
      </c>
      <c r="Y101" s="7">
        <v>430000</v>
      </c>
      <c r="Z101" s="7">
        <v>430000</v>
      </c>
      <c r="AA101" s="7">
        <v>430000</v>
      </c>
      <c r="AB101" s="6" t="s">
        <v>712</v>
      </c>
    </row>
    <row r="102" spans="1:28">
      <c r="A102" s="2" t="s">
        <v>743</v>
      </c>
      <c r="B102" s="3" t="s">
        <v>694</v>
      </c>
      <c r="C102" s="4">
        <v>828123</v>
      </c>
      <c r="D102" s="5">
        <v>194</v>
      </c>
      <c r="E102" s="6" t="s">
        <v>29</v>
      </c>
      <c r="F102" s="6"/>
      <c r="G102" s="6" t="s">
        <v>744</v>
      </c>
      <c r="H102" s="6" t="s">
        <v>694</v>
      </c>
      <c r="I102" s="6" t="s">
        <v>745</v>
      </c>
      <c r="J102" s="6" t="s">
        <v>746</v>
      </c>
      <c r="K102" s="6" t="s">
        <v>747</v>
      </c>
      <c r="L102" s="6" t="s">
        <v>748</v>
      </c>
      <c r="M102" s="6">
        <v>100</v>
      </c>
      <c r="N102" s="6" t="s">
        <v>35</v>
      </c>
      <c r="O102" s="6" t="s">
        <v>292</v>
      </c>
      <c r="P102" s="6" t="s">
        <v>37</v>
      </c>
      <c r="Q102" s="7">
        <v>270000</v>
      </c>
      <c r="R102" s="7">
        <v>0</v>
      </c>
      <c r="S102" s="7">
        <v>0</v>
      </c>
      <c r="T102" s="7">
        <f t="shared" si="1"/>
        <v>270000</v>
      </c>
      <c r="U102" s="6" t="s">
        <v>710</v>
      </c>
      <c r="V102" s="6" t="s">
        <v>749</v>
      </c>
      <c r="W102" s="7">
        <v>270000</v>
      </c>
      <c r="X102" s="7">
        <v>270000</v>
      </c>
      <c r="Y102" s="7">
        <v>270000</v>
      </c>
      <c r="Z102" s="7">
        <v>270000</v>
      </c>
      <c r="AA102" s="7">
        <v>270000</v>
      </c>
      <c r="AB102" s="6" t="s">
        <v>712</v>
      </c>
    </row>
    <row r="103" spans="1:28">
      <c r="A103" s="8" t="s">
        <v>750</v>
      </c>
      <c r="B103" s="9" t="s">
        <v>694</v>
      </c>
      <c r="C103" s="10">
        <v>301199</v>
      </c>
      <c r="D103" s="11">
        <v>356</v>
      </c>
      <c r="E103" s="6" t="s">
        <v>29</v>
      </c>
      <c r="F103" s="6">
        <v>2015</v>
      </c>
      <c r="G103" s="6" t="s">
        <v>705</v>
      </c>
      <c r="H103" s="6" t="s">
        <v>694</v>
      </c>
      <c r="I103" s="6" t="s">
        <v>751</v>
      </c>
      <c r="J103" s="6" t="s">
        <v>752</v>
      </c>
      <c r="K103" s="6" t="s">
        <v>753</v>
      </c>
      <c r="L103" s="6" t="s">
        <v>754</v>
      </c>
      <c r="M103" s="6">
        <v>100</v>
      </c>
      <c r="N103" s="6" t="s">
        <v>572</v>
      </c>
      <c r="O103" s="6" t="s">
        <v>292</v>
      </c>
      <c r="P103" s="6"/>
      <c r="Q103" s="7">
        <v>248000</v>
      </c>
      <c r="R103" s="7">
        <v>0</v>
      </c>
      <c r="S103" s="7">
        <v>0</v>
      </c>
      <c r="T103" s="7">
        <f t="shared" si="1"/>
        <v>248000</v>
      </c>
      <c r="U103" s="6" t="s">
        <v>710</v>
      </c>
      <c r="V103" s="6" t="s">
        <v>755</v>
      </c>
      <c r="W103" s="7">
        <v>248000</v>
      </c>
      <c r="X103" s="7">
        <v>248000</v>
      </c>
      <c r="Y103" s="7">
        <v>248000</v>
      </c>
      <c r="Z103" s="7">
        <v>248000</v>
      </c>
      <c r="AA103" s="7">
        <v>248000</v>
      </c>
      <c r="AB103" s="6" t="s">
        <v>712</v>
      </c>
    </row>
    <row r="104" spans="1:28">
      <c r="A104" s="2" t="s">
        <v>756</v>
      </c>
      <c r="B104" s="3" t="s">
        <v>694</v>
      </c>
      <c r="C104" s="4">
        <v>1057449</v>
      </c>
      <c r="D104" s="5">
        <v>150</v>
      </c>
      <c r="E104" s="6" t="s">
        <v>29</v>
      </c>
      <c r="F104" s="6">
        <v>2024</v>
      </c>
      <c r="G104" s="6" t="s">
        <v>705</v>
      </c>
      <c r="H104" s="6" t="s">
        <v>694</v>
      </c>
      <c r="I104" s="6" t="s">
        <v>706</v>
      </c>
      <c r="J104" s="6" t="s">
        <v>757</v>
      </c>
      <c r="K104" s="6" t="s">
        <v>758</v>
      </c>
      <c r="L104" s="6" t="s">
        <v>759</v>
      </c>
      <c r="M104" s="6"/>
      <c r="N104" s="6" t="s">
        <v>35</v>
      </c>
      <c r="O104" s="6" t="s">
        <v>760</v>
      </c>
      <c r="P104" s="6" t="s">
        <v>37</v>
      </c>
      <c r="Q104" s="7"/>
      <c r="R104" s="7"/>
      <c r="S104" s="7"/>
      <c r="T104" s="7" t="str">
        <f t="shared" si="1"/>
        <v/>
      </c>
      <c r="U104" s="6" t="s">
        <v>761</v>
      </c>
      <c r="V104" s="6" t="s">
        <v>762</v>
      </c>
      <c r="W104" s="7"/>
      <c r="X104" s="7"/>
      <c r="Y104" s="7"/>
      <c r="Z104" s="7"/>
      <c r="AA104" s="7"/>
      <c r="AB104" s="6" t="s">
        <v>721</v>
      </c>
    </row>
    <row r="105" spans="1:28">
      <c r="A105" s="8" t="s">
        <v>763</v>
      </c>
      <c r="B105" s="9" t="s">
        <v>694</v>
      </c>
      <c r="C105" s="10">
        <v>1055905</v>
      </c>
      <c r="D105" s="11">
        <v>151</v>
      </c>
      <c r="E105" s="6" t="s">
        <v>29</v>
      </c>
      <c r="F105" s="6">
        <v>2002</v>
      </c>
      <c r="G105" s="6" t="s">
        <v>764</v>
      </c>
      <c r="H105" s="6" t="s">
        <v>694</v>
      </c>
      <c r="I105" s="6" t="s">
        <v>765</v>
      </c>
      <c r="J105" s="6" t="s">
        <v>766</v>
      </c>
      <c r="K105" s="6" t="s">
        <v>767</v>
      </c>
      <c r="L105" s="6" t="s">
        <v>768</v>
      </c>
      <c r="M105" s="6">
        <v>60</v>
      </c>
      <c r="N105" s="6" t="s">
        <v>35</v>
      </c>
      <c r="O105" s="6" t="s">
        <v>769</v>
      </c>
      <c r="P105" s="6" t="s">
        <v>37</v>
      </c>
      <c r="Q105" s="7">
        <v>379000</v>
      </c>
      <c r="R105" s="7">
        <v>0</v>
      </c>
      <c r="S105" s="7">
        <v>0</v>
      </c>
      <c r="T105" s="7">
        <f t="shared" si="1"/>
        <v>379000</v>
      </c>
      <c r="U105" s="6" t="s">
        <v>710</v>
      </c>
      <c r="V105" s="6" t="s">
        <v>770</v>
      </c>
      <c r="W105" s="7">
        <v>379000</v>
      </c>
      <c r="X105" s="7">
        <v>379000</v>
      </c>
      <c r="Y105" s="7">
        <v>379000</v>
      </c>
      <c r="Z105" s="7">
        <v>379000</v>
      </c>
      <c r="AA105" s="7">
        <v>379000</v>
      </c>
      <c r="AB105" s="6" t="s">
        <v>721</v>
      </c>
    </row>
    <row r="106" spans="1:28">
      <c r="A106" s="2" t="s">
        <v>771</v>
      </c>
      <c r="B106" s="3" t="s">
        <v>694</v>
      </c>
      <c r="C106" s="4">
        <v>944163</v>
      </c>
      <c r="D106" s="5">
        <v>171</v>
      </c>
      <c r="E106" s="6" t="s">
        <v>29</v>
      </c>
      <c r="F106" s="6">
        <v>2015</v>
      </c>
      <c r="G106" s="6" t="s">
        <v>705</v>
      </c>
      <c r="H106" s="6" t="s">
        <v>694</v>
      </c>
      <c r="I106" s="6" t="s">
        <v>706</v>
      </c>
      <c r="J106" s="6" t="s">
        <v>772</v>
      </c>
      <c r="K106" s="6" t="s">
        <v>773</v>
      </c>
      <c r="L106" s="6" t="s">
        <v>774</v>
      </c>
      <c r="M106" s="6">
        <v>60</v>
      </c>
      <c r="N106" s="6" t="s">
        <v>35</v>
      </c>
      <c r="O106" s="6" t="s">
        <v>292</v>
      </c>
      <c r="P106" s="6"/>
      <c r="Q106" s="7">
        <v>156000</v>
      </c>
      <c r="R106" s="7">
        <v>0</v>
      </c>
      <c r="S106" s="7">
        <v>0</v>
      </c>
      <c r="T106" s="7">
        <f t="shared" si="1"/>
        <v>156000</v>
      </c>
      <c r="U106" s="6" t="s">
        <v>710</v>
      </c>
      <c r="V106" s="6" t="s">
        <v>775</v>
      </c>
      <c r="W106" s="7">
        <v>156000</v>
      </c>
      <c r="X106" s="7">
        <v>156000</v>
      </c>
      <c r="Y106" s="7">
        <v>156000</v>
      </c>
      <c r="Z106" s="7">
        <v>156000</v>
      </c>
      <c r="AA106" s="7">
        <v>156000</v>
      </c>
      <c r="AB106" s="6" t="s">
        <v>712</v>
      </c>
    </row>
    <row r="107" ht="26.4" customHeight="1" spans="1:28">
      <c r="A107" s="8" t="s">
        <v>776</v>
      </c>
      <c r="B107" s="9" t="s">
        <v>694</v>
      </c>
      <c r="C107" s="10">
        <v>451425</v>
      </c>
      <c r="D107" s="11">
        <v>297</v>
      </c>
      <c r="E107" s="6" t="s">
        <v>29</v>
      </c>
      <c r="F107" s="6">
        <v>2019</v>
      </c>
      <c r="G107" s="6" t="s">
        <v>777</v>
      </c>
      <c r="H107" s="6" t="s">
        <v>694</v>
      </c>
      <c r="I107" s="6" t="s">
        <v>778</v>
      </c>
      <c r="J107" s="6" t="s">
        <v>779</v>
      </c>
      <c r="K107" s="6" t="s">
        <v>780</v>
      </c>
      <c r="L107" s="6" t="s">
        <v>781</v>
      </c>
      <c r="M107" s="6">
        <v>100</v>
      </c>
      <c r="N107" s="6" t="s">
        <v>35</v>
      </c>
      <c r="O107" s="6" t="s">
        <v>782</v>
      </c>
      <c r="P107" s="6" t="s">
        <v>37</v>
      </c>
      <c r="Q107" s="7">
        <v>300000</v>
      </c>
      <c r="R107" s="7">
        <v>0</v>
      </c>
      <c r="S107" s="7">
        <v>0</v>
      </c>
      <c r="T107" s="7">
        <f t="shared" si="1"/>
        <v>300000</v>
      </c>
      <c r="U107" s="6" t="s">
        <v>710</v>
      </c>
      <c r="V107" s="6" t="s">
        <v>783</v>
      </c>
      <c r="W107" s="7">
        <v>300000</v>
      </c>
      <c r="X107" s="7">
        <v>300000</v>
      </c>
      <c r="Y107" s="7">
        <v>300000</v>
      </c>
      <c r="Z107" s="7">
        <v>300000</v>
      </c>
      <c r="AA107" s="7">
        <v>300000</v>
      </c>
      <c r="AB107" s="6" t="s">
        <v>712</v>
      </c>
    </row>
    <row r="108" spans="1:28">
      <c r="A108" s="2" t="s">
        <v>784</v>
      </c>
      <c r="B108" s="3" t="s">
        <v>694</v>
      </c>
      <c r="C108" s="4">
        <v>816863</v>
      </c>
      <c r="D108" s="5">
        <v>196</v>
      </c>
      <c r="E108" s="6" t="s">
        <v>29</v>
      </c>
      <c r="F108" s="6">
        <v>2001</v>
      </c>
      <c r="G108" s="6" t="s">
        <v>785</v>
      </c>
      <c r="H108" s="6" t="s">
        <v>694</v>
      </c>
      <c r="I108" s="6" t="s">
        <v>786</v>
      </c>
      <c r="J108" s="6" t="s">
        <v>787</v>
      </c>
      <c r="K108" s="6" t="s">
        <v>788</v>
      </c>
      <c r="L108" s="6" t="s">
        <v>789</v>
      </c>
      <c r="M108" s="6">
        <v>100</v>
      </c>
      <c r="N108" s="6" t="s">
        <v>35</v>
      </c>
      <c r="O108" s="6" t="s">
        <v>292</v>
      </c>
      <c r="P108" s="6"/>
      <c r="Q108" s="7">
        <v>229200</v>
      </c>
      <c r="R108" s="7">
        <v>0</v>
      </c>
      <c r="S108" s="7">
        <v>0</v>
      </c>
      <c r="T108" s="7">
        <f t="shared" si="1"/>
        <v>229200</v>
      </c>
      <c r="U108" s="6" t="s">
        <v>710</v>
      </c>
      <c r="V108" s="6" t="s">
        <v>790</v>
      </c>
      <c r="W108" s="7">
        <v>229200</v>
      </c>
      <c r="X108" s="7">
        <v>229200</v>
      </c>
      <c r="Y108" s="7">
        <v>229200</v>
      </c>
      <c r="Z108" s="7">
        <v>229200</v>
      </c>
      <c r="AA108" s="7">
        <v>229200</v>
      </c>
      <c r="AB108" s="6" t="s">
        <v>712</v>
      </c>
    </row>
    <row r="109" ht="26.4" customHeight="1" spans="1:28">
      <c r="A109" s="8" t="s">
        <v>791</v>
      </c>
      <c r="B109" s="9" t="s">
        <v>694</v>
      </c>
      <c r="C109" s="10">
        <v>324812</v>
      </c>
      <c r="D109" s="11">
        <v>346</v>
      </c>
      <c r="E109" s="6" t="s">
        <v>29</v>
      </c>
      <c r="F109" s="6">
        <v>2019</v>
      </c>
      <c r="G109" s="6" t="s">
        <v>792</v>
      </c>
      <c r="H109" s="6" t="s">
        <v>694</v>
      </c>
      <c r="I109" s="6" t="s">
        <v>793</v>
      </c>
      <c r="J109" s="6" t="s">
        <v>794</v>
      </c>
      <c r="K109" s="6" t="s">
        <v>795</v>
      </c>
      <c r="L109" s="6" t="s">
        <v>796</v>
      </c>
      <c r="M109" s="6">
        <v>85</v>
      </c>
      <c r="N109" s="6" t="s">
        <v>35</v>
      </c>
      <c r="O109" s="6" t="s">
        <v>292</v>
      </c>
      <c r="P109" s="6" t="s">
        <v>37</v>
      </c>
      <c r="Q109" s="7">
        <v>280000</v>
      </c>
      <c r="R109" s="7">
        <v>0</v>
      </c>
      <c r="S109" s="7">
        <v>0</v>
      </c>
      <c r="T109" s="7">
        <f t="shared" si="1"/>
        <v>280000</v>
      </c>
      <c r="U109" s="6" t="s">
        <v>710</v>
      </c>
      <c r="V109" s="6" t="s">
        <v>797</v>
      </c>
      <c r="W109" s="7">
        <v>280000</v>
      </c>
      <c r="X109" s="7">
        <v>280000</v>
      </c>
      <c r="Y109" s="7">
        <v>280000</v>
      </c>
      <c r="Z109" s="7">
        <v>280000</v>
      </c>
      <c r="AA109" s="7">
        <v>280000</v>
      </c>
      <c r="AB109" s="6" t="s">
        <v>712</v>
      </c>
    </row>
    <row r="110" spans="1:28">
      <c r="A110" s="2" t="s">
        <v>798</v>
      </c>
      <c r="B110" s="3" t="s">
        <v>694</v>
      </c>
      <c r="C110" s="4">
        <v>552781</v>
      </c>
      <c r="D110" s="5">
        <v>264</v>
      </c>
      <c r="E110" s="6" t="s">
        <v>29</v>
      </c>
      <c r="F110" s="6">
        <v>2003</v>
      </c>
      <c r="G110" s="6" t="s">
        <v>705</v>
      </c>
      <c r="H110" s="6" t="s">
        <v>694</v>
      </c>
      <c r="I110" s="6" t="s">
        <v>706</v>
      </c>
      <c r="J110" s="6" t="s">
        <v>799</v>
      </c>
      <c r="K110" s="6" t="s">
        <v>800</v>
      </c>
      <c r="L110" s="6" t="s">
        <v>801</v>
      </c>
      <c r="M110" s="6">
        <v>100</v>
      </c>
      <c r="N110" s="6" t="s">
        <v>35</v>
      </c>
      <c r="O110" s="6" t="s">
        <v>292</v>
      </c>
      <c r="P110" s="6" t="s">
        <v>37</v>
      </c>
      <c r="Q110" s="7">
        <v>225000</v>
      </c>
      <c r="R110" s="7">
        <v>0</v>
      </c>
      <c r="S110" s="7">
        <v>0</v>
      </c>
      <c r="T110" s="7">
        <f t="shared" si="1"/>
        <v>225000</v>
      </c>
      <c r="U110" s="6" t="s">
        <v>710</v>
      </c>
      <c r="V110" s="6" t="s">
        <v>802</v>
      </c>
      <c r="W110" s="7">
        <v>225000</v>
      </c>
      <c r="X110" s="7">
        <v>225000</v>
      </c>
      <c r="Y110" s="7">
        <v>225000</v>
      </c>
      <c r="Z110" s="7">
        <v>225000</v>
      </c>
      <c r="AA110" s="7">
        <v>225000</v>
      </c>
      <c r="AB110" s="6" t="s">
        <v>712</v>
      </c>
    </row>
    <row r="111" spans="1:28">
      <c r="A111" s="8" t="s">
        <v>803</v>
      </c>
      <c r="B111" s="9" t="s">
        <v>694</v>
      </c>
      <c r="C111" s="10">
        <v>251028</v>
      </c>
      <c r="D111" s="11">
        <v>380</v>
      </c>
      <c r="E111" s="6" t="s">
        <v>29</v>
      </c>
      <c r="F111" s="6">
        <v>2001</v>
      </c>
      <c r="G111" s="6" t="s">
        <v>705</v>
      </c>
      <c r="H111" s="6" t="s">
        <v>694</v>
      </c>
      <c r="I111" s="6" t="s">
        <v>706</v>
      </c>
      <c r="J111" s="6" t="s">
        <v>804</v>
      </c>
      <c r="K111" s="6" t="s">
        <v>805</v>
      </c>
      <c r="L111" s="6" t="s">
        <v>806</v>
      </c>
      <c r="M111" s="6">
        <v>50</v>
      </c>
      <c r="N111" s="6" t="s">
        <v>35</v>
      </c>
      <c r="O111" s="6" t="s">
        <v>807</v>
      </c>
      <c r="P111" s="6"/>
      <c r="Q111" s="7">
        <v>182500</v>
      </c>
      <c r="R111" s="7">
        <v>0</v>
      </c>
      <c r="S111" s="7">
        <v>0</v>
      </c>
      <c r="T111" s="7">
        <f t="shared" si="1"/>
        <v>182500</v>
      </c>
      <c r="U111" s="6" t="s">
        <v>710</v>
      </c>
      <c r="V111" s="6" t="s">
        <v>808</v>
      </c>
      <c r="W111" s="7">
        <v>182500</v>
      </c>
      <c r="X111" s="7">
        <v>182500</v>
      </c>
      <c r="Y111" s="7">
        <v>182500</v>
      </c>
      <c r="Z111" s="7">
        <v>182500</v>
      </c>
      <c r="AA111" s="7">
        <v>182500</v>
      </c>
      <c r="AB111" s="6" t="s">
        <v>712</v>
      </c>
    </row>
    <row r="112" spans="1:28">
      <c r="A112" s="2" t="s">
        <v>809</v>
      </c>
      <c r="B112" s="3" t="s">
        <v>694</v>
      </c>
      <c r="C112" s="4">
        <v>717826</v>
      </c>
      <c r="D112" s="5">
        <v>219</v>
      </c>
      <c r="E112" s="6" t="s">
        <v>714</v>
      </c>
      <c r="F112" s="6">
        <v>2018</v>
      </c>
      <c r="G112" s="6" t="s">
        <v>705</v>
      </c>
      <c r="H112" s="6" t="s">
        <v>694</v>
      </c>
      <c r="I112" s="6" t="s">
        <v>810</v>
      </c>
      <c r="J112" s="6" t="s">
        <v>811</v>
      </c>
      <c r="K112" s="6" t="s">
        <v>812</v>
      </c>
      <c r="L112" s="6" t="s">
        <v>813</v>
      </c>
      <c r="M112" s="6">
        <v>100</v>
      </c>
      <c r="N112" s="6" t="s">
        <v>35</v>
      </c>
      <c r="O112" s="6" t="s">
        <v>292</v>
      </c>
      <c r="P112" s="6" t="s">
        <v>37</v>
      </c>
      <c r="Q112" s="7"/>
      <c r="R112" s="7"/>
      <c r="S112" s="7"/>
      <c r="T112" s="7" t="str">
        <f t="shared" si="1"/>
        <v/>
      </c>
      <c r="U112" s="6" t="s">
        <v>710</v>
      </c>
      <c r="V112" s="6" t="s">
        <v>814</v>
      </c>
      <c r="W112" s="7"/>
      <c r="X112" s="7"/>
      <c r="Y112" s="7"/>
      <c r="Z112" s="7"/>
      <c r="AA112" s="7"/>
      <c r="AB112" s="6" t="s">
        <v>721</v>
      </c>
    </row>
    <row r="113" spans="1:28">
      <c r="A113" s="8" t="s">
        <v>815</v>
      </c>
      <c r="B113" s="9" t="s">
        <v>694</v>
      </c>
      <c r="C113" s="10">
        <v>277785</v>
      </c>
      <c r="D113" s="11">
        <v>367</v>
      </c>
      <c r="E113" s="6" t="s">
        <v>29</v>
      </c>
      <c r="F113" s="6">
        <v>2002</v>
      </c>
      <c r="G113" s="6" t="s">
        <v>705</v>
      </c>
      <c r="H113" s="6" t="s">
        <v>694</v>
      </c>
      <c r="I113" s="6" t="s">
        <v>706</v>
      </c>
      <c r="J113" s="6" t="s">
        <v>816</v>
      </c>
      <c r="K113" s="6" t="s">
        <v>817</v>
      </c>
      <c r="L113" s="6" t="s">
        <v>818</v>
      </c>
      <c r="M113" s="6"/>
      <c r="N113" s="6" t="s">
        <v>572</v>
      </c>
      <c r="O113" s="6" t="s">
        <v>292</v>
      </c>
      <c r="P113" s="6"/>
      <c r="Q113" s="7">
        <v>384000</v>
      </c>
      <c r="R113" s="7">
        <v>0</v>
      </c>
      <c r="S113" s="7">
        <v>0</v>
      </c>
      <c r="T113" s="7">
        <f t="shared" si="1"/>
        <v>384000</v>
      </c>
      <c r="U113" s="6" t="s">
        <v>710</v>
      </c>
      <c r="V113" s="6" t="s">
        <v>819</v>
      </c>
      <c r="W113" s="7">
        <v>384000</v>
      </c>
      <c r="X113" s="7">
        <v>384000</v>
      </c>
      <c r="Y113" s="7">
        <v>384000</v>
      </c>
      <c r="Z113" s="7">
        <v>384000</v>
      </c>
      <c r="AA113" s="7">
        <v>384000</v>
      </c>
      <c r="AB113" s="6" t="s">
        <v>712</v>
      </c>
    </row>
    <row r="114" spans="1:28">
      <c r="A114" s="2" t="s">
        <v>820</v>
      </c>
      <c r="B114" s="3" t="s">
        <v>694</v>
      </c>
      <c r="C114" s="4">
        <v>734838</v>
      </c>
      <c r="D114" s="5">
        <v>215</v>
      </c>
      <c r="E114" s="6" t="s">
        <v>29</v>
      </c>
      <c r="F114" s="6"/>
      <c r="G114" s="6" t="s">
        <v>705</v>
      </c>
      <c r="H114" s="6" t="s">
        <v>694</v>
      </c>
      <c r="I114" s="6" t="s">
        <v>821</v>
      </c>
      <c r="J114" s="6" t="s">
        <v>822</v>
      </c>
      <c r="K114" s="6" t="s">
        <v>823</v>
      </c>
      <c r="L114" s="6" t="s">
        <v>824</v>
      </c>
      <c r="M114" s="6"/>
      <c r="N114" s="6" t="s">
        <v>35</v>
      </c>
      <c r="O114" s="6" t="s">
        <v>292</v>
      </c>
      <c r="P114" s="6"/>
      <c r="Q114" s="7">
        <v>156000</v>
      </c>
      <c r="R114" s="7">
        <v>0</v>
      </c>
      <c r="S114" s="7">
        <v>0</v>
      </c>
      <c r="T114" s="7">
        <f t="shared" si="1"/>
        <v>156000</v>
      </c>
      <c r="U114" s="6" t="s">
        <v>710</v>
      </c>
      <c r="V114" s="6" t="s">
        <v>825</v>
      </c>
      <c r="W114" s="7">
        <v>156000</v>
      </c>
      <c r="X114" s="7">
        <v>156000</v>
      </c>
      <c r="Y114" s="7">
        <v>156000</v>
      </c>
      <c r="Z114" s="7">
        <v>156000</v>
      </c>
      <c r="AA114" s="7">
        <v>156000</v>
      </c>
      <c r="AB114" s="6" t="s">
        <v>712</v>
      </c>
    </row>
    <row r="115" spans="1:28">
      <c r="A115" s="8" t="s">
        <v>826</v>
      </c>
      <c r="B115" s="9" t="s">
        <v>694</v>
      </c>
      <c r="C115" s="10">
        <v>711728</v>
      </c>
      <c r="D115" s="11">
        <v>221</v>
      </c>
      <c r="E115" s="6" t="s">
        <v>29</v>
      </c>
      <c r="F115" s="6">
        <v>2019</v>
      </c>
      <c r="G115" s="6" t="s">
        <v>705</v>
      </c>
      <c r="H115" s="6" t="s">
        <v>694</v>
      </c>
      <c r="I115" s="6" t="s">
        <v>706</v>
      </c>
      <c r="J115" s="6" t="s">
        <v>827</v>
      </c>
      <c r="K115" s="6" t="s">
        <v>828</v>
      </c>
      <c r="L115" s="6" t="s">
        <v>829</v>
      </c>
      <c r="M115" s="6">
        <v>150</v>
      </c>
      <c r="N115" s="6" t="s">
        <v>35</v>
      </c>
      <c r="O115" s="6" t="s">
        <v>292</v>
      </c>
      <c r="P115" s="6"/>
      <c r="Q115" s="7"/>
      <c r="R115" s="7"/>
      <c r="S115" s="7"/>
      <c r="T115" s="7" t="str">
        <f t="shared" si="1"/>
        <v/>
      </c>
      <c r="U115" s="6" t="s">
        <v>710</v>
      </c>
      <c r="V115" s="6" t="s">
        <v>830</v>
      </c>
      <c r="W115" s="7"/>
      <c r="X115" s="7"/>
      <c r="Y115" s="7"/>
      <c r="Z115" s="7"/>
      <c r="AA115" s="7"/>
      <c r="AB115" s="6" t="s">
        <v>721</v>
      </c>
    </row>
    <row r="116" spans="1:28">
      <c r="A116" s="2" t="s">
        <v>831</v>
      </c>
      <c r="B116" s="3" t="s">
        <v>694</v>
      </c>
      <c r="C116" s="4">
        <v>1087894</v>
      </c>
      <c r="D116" s="5">
        <v>145</v>
      </c>
      <c r="E116" s="6" t="s">
        <v>832</v>
      </c>
      <c r="F116" s="6">
        <v>2020</v>
      </c>
      <c r="G116" s="6" t="s">
        <v>833</v>
      </c>
      <c r="H116" s="6" t="s">
        <v>694</v>
      </c>
      <c r="I116" s="6" t="s">
        <v>834</v>
      </c>
      <c r="J116" s="6" t="s">
        <v>835</v>
      </c>
      <c r="K116" s="6" t="s">
        <v>836</v>
      </c>
      <c r="L116" s="6" t="s">
        <v>837</v>
      </c>
      <c r="M116" s="6">
        <v>100</v>
      </c>
      <c r="N116" s="6" t="s">
        <v>35</v>
      </c>
      <c r="O116" s="6" t="s">
        <v>838</v>
      </c>
      <c r="P116" s="6" t="s">
        <v>37</v>
      </c>
      <c r="Q116" s="7">
        <v>225250</v>
      </c>
      <c r="R116" s="7">
        <v>0</v>
      </c>
      <c r="S116" s="7">
        <v>0</v>
      </c>
      <c r="T116" s="7">
        <f t="shared" si="1"/>
        <v>225250</v>
      </c>
      <c r="U116" s="6" t="s">
        <v>839</v>
      </c>
      <c r="V116" s="6" t="s">
        <v>840</v>
      </c>
      <c r="W116" s="7">
        <v>225250</v>
      </c>
      <c r="X116" s="7">
        <v>225250</v>
      </c>
      <c r="Y116" s="7">
        <v>225250</v>
      </c>
      <c r="Z116" s="7">
        <v>225250</v>
      </c>
      <c r="AA116" s="7">
        <v>225250</v>
      </c>
      <c r="AB116" s="6" t="s">
        <v>841</v>
      </c>
    </row>
    <row r="117" ht="26.4" customHeight="1" spans="1:28">
      <c r="A117" s="8" t="s">
        <v>842</v>
      </c>
      <c r="B117" s="9" t="s">
        <v>694</v>
      </c>
      <c r="C117" s="10">
        <v>909128</v>
      </c>
      <c r="D117" s="11">
        <v>177</v>
      </c>
      <c r="E117" s="6" t="s">
        <v>832</v>
      </c>
      <c r="F117" s="6">
        <v>2020</v>
      </c>
      <c r="G117" s="6" t="s">
        <v>705</v>
      </c>
      <c r="H117" s="6" t="s">
        <v>694</v>
      </c>
      <c r="I117" s="6" t="s">
        <v>843</v>
      </c>
      <c r="J117" s="6" t="s">
        <v>779</v>
      </c>
      <c r="K117" s="6"/>
      <c r="L117" s="6" t="s">
        <v>844</v>
      </c>
      <c r="M117" s="6">
        <v>100</v>
      </c>
      <c r="N117" s="6" t="s">
        <v>35</v>
      </c>
      <c r="O117" s="6" t="s">
        <v>807</v>
      </c>
      <c r="P117" s="6" t="s">
        <v>37</v>
      </c>
      <c r="Q117" s="7"/>
      <c r="R117" s="7"/>
      <c r="S117" s="7"/>
      <c r="T117" s="7" t="str">
        <f t="shared" si="1"/>
        <v/>
      </c>
      <c r="U117" s="6"/>
      <c r="V117" s="6" t="s">
        <v>845</v>
      </c>
      <c r="W117" s="7"/>
      <c r="X117" s="7"/>
      <c r="Y117" s="7"/>
      <c r="Z117" s="7"/>
      <c r="AA117" s="7"/>
      <c r="AB117" s="6" t="s">
        <v>846</v>
      </c>
    </row>
    <row r="118" spans="1:28">
      <c r="A118" s="2" t="s">
        <v>847</v>
      </c>
      <c r="B118" s="3" t="s">
        <v>694</v>
      </c>
      <c r="C118" s="4">
        <v>1088769</v>
      </c>
      <c r="D118" s="5">
        <v>145</v>
      </c>
      <c r="E118" s="6" t="s">
        <v>832</v>
      </c>
      <c r="F118" s="6">
        <v>2013</v>
      </c>
      <c r="G118" s="6" t="s">
        <v>729</v>
      </c>
      <c r="H118" s="6" t="s">
        <v>694</v>
      </c>
      <c r="I118" s="6" t="s">
        <v>848</v>
      </c>
      <c r="J118" s="6" t="s">
        <v>849</v>
      </c>
      <c r="K118" s="6" t="s">
        <v>850</v>
      </c>
      <c r="L118" s="6" t="s">
        <v>851</v>
      </c>
      <c r="M118" s="6">
        <v>100</v>
      </c>
      <c r="N118" s="6" t="s">
        <v>35</v>
      </c>
      <c r="O118" s="6" t="s">
        <v>807</v>
      </c>
      <c r="P118" s="6" t="s">
        <v>37</v>
      </c>
      <c r="Q118" s="7">
        <v>229500</v>
      </c>
      <c r="R118" s="7">
        <v>0</v>
      </c>
      <c r="S118" s="7">
        <v>0</v>
      </c>
      <c r="T118" s="7">
        <f t="shared" si="1"/>
        <v>229500</v>
      </c>
      <c r="U118" s="6" t="s">
        <v>839</v>
      </c>
      <c r="V118" s="6" t="s">
        <v>852</v>
      </c>
      <c r="W118" s="7">
        <v>229500</v>
      </c>
      <c r="X118" s="7">
        <v>229500</v>
      </c>
      <c r="Y118" s="7">
        <v>229500</v>
      </c>
      <c r="Z118" s="7">
        <v>229500</v>
      </c>
      <c r="AA118" s="7">
        <v>229500</v>
      </c>
      <c r="AB118" s="6" t="s">
        <v>853</v>
      </c>
    </row>
    <row r="119" spans="1:28">
      <c r="A119" s="8" t="s">
        <v>854</v>
      </c>
      <c r="B119" s="9" t="s">
        <v>694</v>
      </c>
      <c r="C119" s="10">
        <v>884497</v>
      </c>
      <c r="D119" s="11">
        <v>182</v>
      </c>
      <c r="E119" s="6" t="s">
        <v>832</v>
      </c>
      <c r="F119" s="6">
        <v>2015</v>
      </c>
      <c r="G119" s="6" t="s">
        <v>855</v>
      </c>
      <c r="H119" s="6" t="s">
        <v>694</v>
      </c>
      <c r="I119" s="6" t="s">
        <v>856</v>
      </c>
      <c r="J119" s="6" t="s">
        <v>857</v>
      </c>
      <c r="K119" s="6" t="s">
        <v>823</v>
      </c>
      <c r="L119" s="6" t="s">
        <v>858</v>
      </c>
      <c r="M119" s="6">
        <v>60</v>
      </c>
      <c r="N119" s="6" t="s">
        <v>35</v>
      </c>
      <c r="O119" s="6" t="s">
        <v>807</v>
      </c>
      <c r="P119" s="6" t="s">
        <v>37</v>
      </c>
      <c r="Q119" s="7">
        <v>220000</v>
      </c>
      <c r="R119" s="7">
        <v>0</v>
      </c>
      <c r="S119" s="7">
        <v>0</v>
      </c>
      <c r="T119" s="7">
        <f t="shared" si="1"/>
        <v>220000</v>
      </c>
      <c r="U119" s="6" t="s">
        <v>859</v>
      </c>
      <c r="V119" s="6" t="s">
        <v>860</v>
      </c>
      <c r="W119" s="7">
        <v>220000</v>
      </c>
      <c r="X119" s="7">
        <v>220000</v>
      </c>
      <c r="Y119" s="7">
        <v>220000</v>
      </c>
      <c r="Z119" s="7">
        <v>220000</v>
      </c>
      <c r="AA119" s="7">
        <v>220000</v>
      </c>
      <c r="AB119" s="6" t="s">
        <v>853</v>
      </c>
    </row>
    <row r="120" spans="1:28">
      <c r="A120" s="2" t="s">
        <v>861</v>
      </c>
      <c r="B120" s="3" t="s">
        <v>694</v>
      </c>
      <c r="C120" s="4">
        <v>203625</v>
      </c>
      <c r="D120" s="5">
        <v>403</v>
      </c>
      <c r="E120" s="6" t="s">
        <v>832</v>
      </c>
      <c r="F120" s="6">
        <v>1973</v>
      </c>
      <c r="G120" s="6" t="s">
        <v>792</v>
      </c>
      <c r="H120" s="6" t="s">
        <v>694</v>
      </c>
      <c r="I120" s="6" t="s">
        <v>862</v>
      </c>
      <c r="J120" s="6" t="s">
        <v>863</v>
      </c>
      <c r="K120" s="6" t="s">
        <v>864</v>
      </c>
      <c r="L120" s="6" t="s">
        <v>865</v>
      </c>
      <c r="M120" s="6">
        <v>100</v>
      </c>
      <c r="N120" s="6" t="s">
        <v>47</v>
      </c>
      <c r="O120" s="6" t="s">
        <v>807</v>
      </c>
      <c r="P120" s="6" t="s">
        <v>37</v>
      </c>
      <c r="Q120" s="7">
        <v>247200</v>
      </c>
      <c r="R120" s="7">
        <v>0</v>
      </c>
      <c r="S120" s="7">
        <v>0</v>
      </c>
      <c r="T120" s="7">
        <f t="shared" si="1"/>
        <v>247200</v>
      </c>
      <c r="U120" s="6" t="s">
        <v>839</v>
      </c>
      <c r="V120" s="6" t="s">
        <v>866</v>
      </c>
      <c r="W120" s="7">
        <v>247200</v>
      </c>
      <c r="X120" s="7">
        <v>247200</v>
      </c>
      <c r="Y120" s="7">
        <v>247200</v>
      </c>
      <c r="Z120" s="7">
        <v>247200</v>
      </c>
      <c r="AA120" s="7">
        <v>247200</v>
      </c>
      <c r="AB120" s="6" t="s">
        <v>853</v>
      </c>
    </row>
    <row r="121" spans="1:28">
      <c r="A121" s="8" t="s">
        <v>867</v>
      </c>
      <c r="B121" s="9" t="s">
        <v>694</v>
      </c>
      <c r="C121" s="10">
        <v>418102</v>
      </c>
      <c r="D121" s="11">
        <v>309</v>
      </c>
      <c r="E121" s="6" t="s">
        <v>832</v>
      </c>
      <c r="F121" s="6">
        <v>2017</v>
      </c>
      <c r="G121" s="6" t="s">
        <v>705</v>
      </c>
      <c r="H121" s="6" t="s">
        <v>694</v>
      </c>
      <c r="I121" s="6" t="s">
        <v>868</v>
      </c>
      <c r="J121" s="6" t="s">
        <v>869</v>
      </c>
      <c r="K121" s="6" t="s">
        <v>753</v>
      </c>
      <c r="L121" s="6" t="s">
        <v>870</v>
      </c>
      <c r="M121" s="6">
        <v>100</v>
      </c>
      <c r="N121" s="6" t="s">
        <v>35</v>
      </c>
      <c r="O121" s="6" t="s">
        <v>871</v>
      </c>
      <c r="P121" s="6" t="s">
        <v>37</v>
      </c>
      <c r="Q121" s="7">
        <v>407250</v>
      </c>
      <c r="R121" s="7">
        <v>0</v>
      </c>
      <c r="S121" s="7">
        <v>0</v>
      </c>
      <c r="T121" s="7">
        <f t="shared" si="1"/>
        <v>407250</v>
      </c>
      <c r="U121" s="6" t="s">
        <v>872</v>
      </c>
      <c r="V121" s="6" t="s">
        <v>873</v>
      </c>
      <c r="W121" s="7">
        <v>407250</v>
      </c>
      <c r="X121" s="7">
        <v>407250</v>
      </c>
      <c r="Y121" s="7">
        <v>407250</v>
      </c>
      <c r="Z121" s="7">
        <v>407250</v>
      </c>
      <c r="AA121" s="7">
        <v>407250</v>
      </c>
      <c r="AB121" s="6" t="s">
        <v>853</v>
      </c>
    </row>
    <row r="122" spans="1:28">
      <c r="A122" s="2" t="s">
        <v>874</v>
      </c>
      <c r="B122" s="3" t="s">
        <v>694</v>
      </c>
      <c r="C122" s="4">
        <v>453867</v>
      </c>
      <c r="D122" s="5">
        <v>296</v>
      </c>
      <c r="E122" s="6" t="s">
        <v>832</v>
      </c>
      <c r="F122" s="6">
        <v>2002</v>
      </c>
      <c r="G122" s="6" t="s">
        <v>705</v>
      </c>
      <c r="H122" s="6" t="s">
        <v>694</v>
      </c>
      <c r="I122" s="6" t="s">
        <v>706</v>
      </c>
      <c r="J122" s="6" t="s">
        <v>875</v>
      </c>
      <c r="K122" s="6"/>
      <c r="L122" s="6" t="s">
        <v>876</v>
      </c>
      <c r="M122" s="6">
        <v>100</v>
      </c>
      <c r="N122" s="6" t="s">
        <v>35</v>
      </c>
      <c r="O122" s="6" t="s">
        <v>877</v>
      </c>
      <c r="P122" s="6" t="s">
        <v>37</v>
      </c>
      <c r="Q122" s="7">
        <v>160000</v>
      </c>
      <c r="R122" s="7">
        <v>0</v>
      </c>
      <c r="S122" s="7">
        <v>0</v>
      </c>
      <c r="T122" s="7">
        <f t="shared" si="1"/>
        <v>160000</v>
      </c>
      <c r="U122" s="6" t="s">
        <v>878</v>
      </c>
      <c r="V122" s="6" t="s">
        <v>879</v>
      </c>
      <c r="W122" s="7">
        <v>160000</v>
      </c>
      <c r="X122" s="7">
        <v>160000</v>
      </c>
      <c r="Y122" s="7">
        <v>160000</v>
      </c>
      <c r="Z122" s="7">
        <v>160000</v>
      </c>
      <c r="AA122" s="7">
        <v>160000</v>
      </c>
      <c r="AB122" s="6" t="s">
        <v>880</v>
      </c>
    </row>
    <row r="123" spans="1:28">
      <c r="A123" s="8" t="s">
        <v>881</v>
      </c>
      <c r="B123" s="9" t="s">
        <v>694</v>
      </c>
      <c r="C123" s="10">
        <v>816607</v>
      </c>
      <c r="D123" s="11">
        <v>196</v>
      </c>
      <c r="E123" s="6" t="s">
        <v>832</v>
      </c>
      <c r="F123" s="6">
        <v>2017</v>
      </c>
      <c r="G123" s="6" t="s">
        <v>777</v>
      </c>
      <c r="H123" s="6" t="s">
        <v>694</v>
      </c>
      <c r="I123" s="6" t="s">
        <v>882</v>
      </c>
      <c r="J123" s="6" t="s">
        <v>883</v>
      </c>
      <c r="K123" s="6" t="s">
        <v>884</v>
      </c>
      <c r="L123" s="6" t="s">
        <v>885</v>
      </c>
      <c r="M123" s="6">
        <v>60</v>
      </c>
      <c r="N123" s="6" t="s">
        <v>35</v>
      </c>
      <c r="O123" s="6" t="s">
        <v>886</v>
      </c>
      <c r="P123" s="6"/>
      <c r="Q123" s="7">
        <v>379000</v>
      </c>
      <c r="R123" s="7">
        <v>0</v>
      </c>
      <c r="S123" s="7">
        <v>0</v>
      </c>
      <c r="T123" s="7">
        <f t="shared" si="1"/>
        <v>379000</v>
      </c>
      <c r="U123" s="6" t="s">
        <v>150</v>
      </c>
      <c r="V123" s="6" t="s">
        <v>887</v>
      </c>
      <c r="W123" s="7">
        <v>379000</v>
      </c>
      <c r="X123" s="7">
        <v>379000</v>
      </c>
      <c r="Y123" s="7">
        <v>379000</v>
      </c>
      <c r="Z123" s="7">
        <v>379000</v>
      </c>
      <c r="AA123" s="7">
        <v>379000</v>
      </c>
      <c r="AB123" s="6" t="s">
        <v>846</v>
      </c>
    </row>
    <row r="124" spans="1:28">
      <c r="A124" s="2" t="s">
        <v>888</v>
      </c>
      <c r="B124" s="3" t="s">
        <v>889</v>
      </c>
      <c r="C124" s="4"/>
      <c r="D124" s="5"/>
      <c r="E124" s="6" t="s">
        <v>832</v>
      </c>
      <c r="F124" s="6">
        <v>2013</v>
      </c>
      <c r="G124" s="6" t="s">
        <v>890</v>
      </c>
      <c r="H124" s="6" t="s">
        <v>889</v>
      </c>
      <c r="I124" s="6" t="s">
        <v>891</v>
      </c>
      <c r="J124" s="6" t="s">
        <v>892</v>
      </c>
      <c r="K124" s="6" t="s">
        <v>893</v>
      </c>
      <c r="L124" s="6" t="s">
        <v>894</v>
      </c>
      <c r="M124" s="6">
        <v>60</v>
      </c>
      <c r="N124" s="6" t="s">
        <v>35</v>
      </c>
      <c r="O124" s="6" t="s">
        <v>807</v>
      </c>
      <c r="P124" s="6" t="s">
        <v>37</v>
      </c>
      <c r="Q124" s="7">
        <v>200000</v>
      </c>
      <c r="R124" s="7">
        <v>0</v>
      </c>
      <c r="S124" s="7">
        <v>0</v>
      </c>
      <c r="T124" s="7">
        <f t="shared" si="1"/>
        <v>200000</v>
      </c>
      <c r="U124" s="6" t="s">
        <v>895</v>
      </c>
      <c r="V124" s="6" t="s">
        <v>896</v>
      </c>
      <c r="W124" s="7">
        <v>200000</v>
      </c>
      <c r="X124" s="7">
        <v>200000</v>
      </c>
      <c r="Y124" s="7">
        <v>200000</v>
      </c>
      <c r="Z124" s="7">
        <v>200000</v>
      </c>
      <c r="AA124" s="7">
        <v>200000</v>
      </c>
      <c r="AB124" s="6" t="s">
        <v>897</v>
      </c>
    </row>
    <row r="125" ht="26.4" customHeight="1" spans="1:28">
      <c r="A125" s="8" t="s">
        <v>898</v>
      </c>
      <c r="B125" s="9" t="s">
        <v>889</v>
      </c>
      <c r="C125" s="10"/>
      <c r="D125" s="11"/>
      <c r="E125" s="6" t="s">
        <v>832</v>
      </c>
      <c r="F125" s="6">
        <v>2002</v>
      </c>
      <c r="G125" s="6" t="s">
        <v>899</v>
      </c>
      <c r="H125" s="6" t="s">
        <v>889</v>
      </c>
      <c r="I125" s="6" t="s">
        <v>900</v>
      </c>
      <c r="J125" s="6" t="s">
        <v>901</v>
      </c>
      <c r="K125" s="6" t="s">
        <v>902</v>
      </c>
      <c r="L125" s="6" t="s">
        <v>903</v>
      </c>
      <c r="M125" s="6">
        <v>60</v>
      </c>
      <c r="N125" s="6" t="s">
        <v>572</v>
      </c>
      <c r="O125" s="6" t="s">
        <v>807</v>
      </c>
      <c r="P125" s="6" t="s">
        <v>37</v>
      </c>
      <c r="Q125" s="7">
        <v>120000</v>
      </c>
      <c r="R125" s="7">
        <v>0</v>
      </c>
      <c r="S125" s="7">
        <v>0</v>
      </c>
      <c r="T125" s="7">
        <f t="shared" si="1"/>
        <v>120000</v>
      </c>
      <c r="U125" s="6" t="s">
        <v>904</v>
      </c>
      <c r="V125" s="6" t="s">
        <v>905</v>
      </c>
      <c r="W125" s="7">
        <v>120000</v>
      </c>
      <c r="X125" s="7">
        <v>120000</v>
      </c>
      <c r="Y125" s="7">
        <v>120000</v>
      </c>
      <c r="Z125" s="7">
        <v>120000</v>
      </c>
      <c r="AA125" s="7">
        <v>120000</v>
      </c>
      <c r="AB125" s="6" t="s">
        <v>897</v>
      </c>
    </row>
    <row r="126" spans="1:28">
      <c r="A126" s="2" t="s">
        <v>906</v>
      </c>
      <c r="B126" s="3" t="s">
        <v>889</v>
      </c>
      <c r="C126" s="4"/>
      <c r="D126" s="5"/>
      <c r="E126" s="6" t="s">
        <v>832</v>
      </c>
      <c r="F126" s="6">
        <v>1898</v>
      </c>
      <c r="G126" s="6" t="s">
        <v>907</v>
      </c>
      <c r="H126" s="6" t="s">
        <v>889</v>
      </c>
      <c r="I126" s="6" t="s">
        <v>908</v>
      </c>
      <c r="J126" s="6" t="s">
        <v>909</v>
      </c>
      <c r="K126" s="6" t="s">
        <v>910</v>
      </c>
      <c r="L126" s="6" t="s">
        <v>911</v>
      </c>
      <c r="M126" s="6">
        <v>50</v>
      </c>
      <c r="N126" s="6" t="s">
        <v>912</v>
      </c>
      <c r="O126" s="6" t="s">
        <v>913</v>
      </c>
      <c r="P126" s="6" t="s">
        <v>37</v>
      </c>
      <c r="Q126" s="7">
        <v>180000</v>
      </c>
      <c r="R126" s="7">
        <v>0</v>
      </c>
      <c r="S126" s="7">
        <v>0</v>
      </c>
      <c r="T126" s="7">
        <f t="shared" si="1"/>
        <v>180000</v>
      </c>
      <c r="U126" s="6" t="s">
        <v>904</v>
      </c>
      <c r="V126" s="6" t="s">
        <v>914</v>
      </c>
      <c r="W126" s="7">
        <v>180000</v>
      </c>
      <c r="X126" s="7">
        <v>180000</v>
      </c>
      <c r="Y126" s="7">
        <v>180000</v>
      </c>
      <c r="Z126" s="7">
        <v>180000</v>
      </c>
      <c r="AA126" s="7">
        <v>180000</v>
      </c>
      <c r="AB126" s="6" t="s">
        <v>897</v>
      </c>
    </row>
    <row r="127" ht="26.4" customHeight="1" spans="1:28">
      <c r="A127" s="8" t="s">
        <v>915</v>
      </c>
      <c r="B127" s="9" t="s">
        <v>889</v>
      </c>
      <c r="C127" s="10"/>
      <c r="D127" s="11"/>
      <c r="E127" s="6" t="s">
        <v>832</v>
      </c>
      <c r="F127" s="6">
        <v>1996</v>
      </c>
      <c r="G127" s="6" t="s">
        <v>916</v>
      </c>
      <c r="H127" s="6" t="s">
        <v>889</v>
      </c>
      <c r="I127" s="6" t="s">
        <v>917</v>
      </c>
      <c r="J127" s="6" t="s">
        <v>918</v>
      </c>
      <c r="K127" s="6" t="s">
        <v>919</v>
      </c>
      <c r="L127" s="6" t="s">
        <v>920</v>
      </c>
      <c r="M127" s="6">
        <v>60</v>
      </c>
      <c r="N127" s="6" t="s">
        <v>35</v>
      </c>
      <c r="O127" s="6" t="s">
        <v>807</v>
      </c>
      <c r="P127" s="6" t="s">
        <v>37</v>
      </c>
      <c r="Q127" s="7">
        <v>180000</v>
      </c>
      <c r="R127" s="7">
        <v>0</v>
      </c>
      <c r="S127" s="7">
        <v>0</v>
      </c>
      <c r="T127" s="7">
        <f t="shared" si="1"/>
        <v>180000</v>
      </c>
      <c r="U127" s="6" t="s">
        <v>904</v>
      </c>
      <c r="V127" s="6" t="s">
        <v>921</v>
      </c>
      <c r="W127" s="7">
        <v>180000</v>
      </c>
      <c r="X127" s="7">
        <v>180000</v>
      </c>
      <c r="Y127" s="7">
        <v>180000</v>
      </c>
      <c r="Z127" s="7">
        <v>180000</v>
      </c>
      <c r="AA127" s="7">
        <v>180000</v>
      </c>
      <c r="AB127" s="6" t="s">
        <v>897</v>
      </c>
    </row>
    <row r="128" spans="1:28">
      <c r="A128" s="2" t="s">
        <v>922</v>
      </c>
      <c r="B128" s="3" t="s">
        <v>889</v>
      </c>
      <c r="C128" s="4"/>
      <c r="D128" s="5"/>
      <c r="E128" s="6" t="s">
        <v>832</v>
      </c>
      <c r="F128" s="6">
        <v>2024</v>
      </c>
      <c r="G128" s="6" t="s">
        <v>923</v>
      </c>
      <c r="H128" s="6" t="s">
        <v>889</v>
      </c>
      <c r="I128" s="6" t="s">
        <v>924</v>
      </c>
      <c r="J128" s="6" t="s">
        <v>925</v>
      </c>
      <c r="K128" s="6" t="s">
        <v>926</v>
      </c>
      <c r="L128" s="6" t="s">
        <v>927</v>
      </c>
      <c r="M128" s="6"/>
      <c r="N128" s="6" t="s">
        <v>35</v>
      </c>
      <c r="O128" s="6" t="s">
        <v>928</v>
      </c>
      <c r="P128" s="6" t="s">
        <v>37</v>
      </c>
      <c r="Q128" s="7">
        <v>180000</v>
      </c>
      <c r="R128" s="7">
        <v>0</v>
      </c>
      <c r="S128" s="7">
        <v>0</v>
      </c>
      <c r="T128" s="7">
        <f t="shared" si="1"/>
        <v>180000</v>
      </c>
      <c r="U128" s="6" t="s">
        <v>904</v>
      </c>
      <c r="V128" s="6" t="s">
        <v>929</v>
      </c>
      <c r="W128" s="7">
        <v>180000</v>
      </c>
      <c r="X128" s="7">
        <v>180000</v>
      </c>
      <c r="Y128" s="7">
        <v>180000</v>
      </c>
      <c r="Z128" s="7">
        <v>180000</v>
      </c>
      <c r="AA128" s="7">
        <v>180000</v>
      </c>
      <c r="AB128" s="6" t="s">
        <v>897</v>
      </c>
    </row>
    <row r="129" ht="26.4" customHeight="1" spans="1:28">
      <c r="A129" s="8" t="s">
        <v>930</v>
      </c>
      <c r="B129" s="9" t="s">
        <v>889</v>
      </c>
      <c r="C129" s="10"/>
      <c r="D129" s="11"/>
      <c r="E129" s="6" t="s">
        <v>832</v>
      </c>
      <c r="F129" s="6">
        <v>1998</v>
      </c>
      <c r="G129" s="6" t="s">
        <v>931</v>
      </c>
      <c r="H129" s="6" t="s">
        <v>889</v>
      </c>
      <c r="I129" s="6" t="s">
        <v>932</v>
      </c>
      <c r="J129" s="6" t="s">
        <v>933</v>
      </c>
      <c r="K129" s="6" t="s">
        <v>934</v>
      </c>
      <c r="L129" s="6" t="s">
        <v>935</v>
      </c>
      <c r="M129" s="6">
        <v>60</v>
      </c>
      <c r="N129" s="6" t="s">
        <v>35</v>
      </c>
      <c r="O129" s="6" t="s">
        <v>292</v>
      </c>
      <c r="P129" s="6" t="s">
        <v>37</v>
      </c>
      <c r="Q129" s="7">
        <v>180000</v>
      </c>
      <c r="R129" s="7">
        <v>0</v>
      </c>
      <c r="S129" s="7">
        <v>0</v>
      </c>
      <c r="T129" s="7">
        <f t="shared" si="1"/>
        <v>180000</v>
      </c>
      <c r="U129" s="6" t="s">
        <v>904</v>
      </c>
      <c r="V129" s="6" t="s">
        <v>936</v>
      </c>
      <c r="W129" s="7">
        <v>180000</v>
      </c>
      <c r="X129" s="7">
        <v>180000</v>
      </c>
      <c r="Y129" s="7">
        <v>180000</v>
      </c>
      <c r="Z129" s="7">
        <v>180000</v>
      </c>
      <c r="AA129" s="7">
        <v>180000</v>
      </c>
      <c r="AB129" s="6" t="s">
        <v>897</v>
      </c>
    </row>
    <row r="130" spans="1:28">
      <c r="A130" s="2" t="s">
        <v>937</v>
      </c>
      <c r="B130" s="3" t="s">
        <v>889</v>
      </c>
      <c r="C130" s="4"/>
      <c r="D130" s="5"/>
      <c r="E130" s="6" t="s">
        <v>832</v>
      </c>
      <c r="F130" s="6">
        <v>1997</v>
      </c>
      <c r="G130" s="6" t="s">
        <v>890</v>
      </c>
      <c r="H130" s="6" t="s">
        <v>889</v>
      </c>
      <c r="I130" s="6" t="s">
        <v>938</v>
      </c>
      <c r="J130" s="6" t="s">
        <v>939</v>
      </c>
      <c r="K130" s="6" t="s">
        <v>940</v>
      </c>
      <c r="L130" s="6" t="s">
        <v>941</v>
      </c>
      <c r="M130" s="6">
        <v>60</v>
      </c>
      <c r="N130" s="6" t="s">
        <v>35</v>
      </c>
      <c r="O130" s="6" t="s">
        <v>292</v>
      </c>
      <c r="P130" s="6" t="s">
        <v>37</v>
      </c>
      <c r="Q130" s="7">
        <v>180000</v>
      </c>
      <c r="R130" s="7">
        <v>0</v>
      </c>
      <c r="S130" s="7">
        <v>0</v>
      </c>
      <c r="T130" s="7">
        <f t="shared" ref="T130:T193" si="2">IF(COUNT(Q130:S130)=0,"",SUM(Q130:S130))</f>
        <v>180000</v>
      </c>
      <c r="U130" s="6" t="s">
        <v>904</v>
      </c>
      <c r="V130" s="6" t="s">
        <v>942</v>
      </c>
      <c r="W130" s="7">
        <v>180000</v>
      </c>
      <c r="X130" s="7">
        <v>180000</v>
      </c>
      <c r="Y130" s="7">
        <v>180000</v>
      </c>
      <c r="Z130" s="7">
        <v>180000</v>
      </c>
      <c r="AA130" s="7">
        <v>180000</v>
      </c>
      <c r="AB130" s="6" t="s">
        <v>897</v>
      </c>
    </row>
    <row r="131" spans="1:28">
      <c r="A131" s="8" t="s">
        <v>943</v>
      </c>
      <c r="B131" s="9" t="s">
        <v>889</v>
      </c>
      <c r="C131" s="10"/>
      <c r="D131" s="11"/>
      <c r="E131" s="6" t="s">
        <v>832</v>
      </c>
      <c r="F131" s="6">
        <v>2013</v>
      </c>
      <c r="G131" s="6" t="s">
        <v>944</v>
      </c>
      <c r="H131" s="6" t="s">
        <v>889</v>
      </c>
      <c r="I131" s="6" t="s">
        <v>945</v>
      </c>
      <c r="J131" s="6" t="s">
        <v>946</v>
      </c>
      <c r="K131" s="6" t="s">
        <v>947</v>
      </c>
      <c r="L131" s="6" t="s">
        <v>948</v>
      </c>
      <c r="M131" s="6">
        <v>60</v>
      </c>
      <c r="N131" s="6" t="s">
        <v>35</v>
      </c>
      <c r="O131" s="6" t="s">
        <v>292</v>
      </c>
      <c r="P131" s="6"/>
      <c r="Q131" s="7">
        <v>180000</v>
      </c>
      <c r="R131" s="7">
        <v>0</v>
      </c>
      <c r="S131" s="7">
        <v>0</v>
      </c>
      <c r="T131" s="7">
        <f t="shared" si="2"/>
        <v>180000</v>
      </c>
      <c r="U131" s="6" t="s">
        <v>904</v>
      </c>
      <c r="V131" s="6" t="s">
        <v>949</v>
      </c>
      <c r="W131" s="7">
        <v>180000</v>
      </c>
      <c r="X131" s="7">
        <v>180000</v>
      </c>
      <c r="Y131" s="7">
        <v>180000</v>
      </c>
      <c r="Z131" s="7">
        <v>180000</v>
      </c>
      <c r="AA131" s="7">
        <v>180000</v>
      </c>
      <c r="AB131" s="6" t="s">
        <v>897</v>
      </c>
    </row>
    <row r="132" spans="1:28">
      <c r="A132" s="2" t="s">
        <v>950</v>
      </c>
      <c r="B132" s="3" t="s">
        <v>889</v>
      </c>
      <c r="C132" s="4"/>
      <c r="D132" s="5"/>
      <c r="E132" s="6" t="s">
        <v>832</v>
      </c>
      <c r="F132" s="6">
        <v>2016</v>
      </c>
      <c r="G132" s="6" t="s">
        <v>951</v>
      </c>
      <c r="H132" s="6" t="s">
        <v>889</v>
      </c>
      <c r="I132" s="6" t="s">
        <v>952</v>
      </c>
      <c r="J132" s="6" t="s">
        <v>953</v>
      </c>
      <c r="K132" s="6" t="s">
        <v>954</v>
      </c>
      <c r="L132" s="6" t="s">
        <v>955</v>
      </c>
      <c r="M132" s="6"/>
      <c r="N132" s="6" t="s">
        <v>35</v>
      </c>
      <c r="O132" s="6" t="s">
        <v>292</v>
      </c>
      <c r="P132" s="6" t="s">
        <v>37</v>
      </c>
      <c r="Q132" s="7">
        <v>180000</v>
      </c>
      <c r="R132" s="7">
        <v>0</v>
      </c>
      <c r="S132" s="7">
        <v>0</v>
      </c>
      <c r="T132" s="7">
        <f t="shared" si="2"/>
        <v>180000</v>
      </c>
      <c r="U132" s="6" t="s">
        <v>904</v>
      </c>
      <c r="V132" s="6" t="s">
        <v>956</v>
      </c>
      <c r="W132" s="7">
        <v>180000</v>
      </c>
      <c r="X132" s="7">
        <v>180000</v>
      </c>
      <c r="Y132" s="7">
        <v>180000</v>
      </c>
      <c r="Z132" s="7">
        <v>180000</v>
      </c>
      <c r="AA132" s="7">
        <v>180000</v>
      </c>
      <c r="AB132" s="6" t="s">
        <v>897</v>
      </c>
    </row>
    <row r="133" spans="1:28">
      <c r="A133" s="8" t="s">
        <v>957</v>
      </c>
      <c r="B133" s="9" t="s">
        <v>889</v>
      </c>
      <c r="C133" s="10"/>
      <c r="D133" s="11"/>
      <c r="E133" s="6" t="s">
        <v>832</v>
      </c>
      <c r="F133" s="6">
        <v>1995</v>
      </c>
      <c r="G133" s="6" t="s">
        <v>890</v>
      </c>
      <c r="H133" s="6" t="s">
        <v>889</v>
      </c>
      <c r="I133" s="6" t="s">
        <v>958</v>
      </c>
      <c r="J133" s="6"/>
      <c r="K133" s="6"/>
      <c r="L133" s="6" t="s">
        <v>959</v>
      </c>
      <c r="M133" s="6">
        <v>60</v>
      </c>
      <c r="N133" s="6" t="s">
        <v>35</v>
      </c>
      <c r="O133" s="6" t="s">
        <v>960</v>
      </c>
      <c r="P133" s="6" t="s">
        <v>37</v>
      </c>
      <c r="Q133" s="7">
        <v>180000</v>
      </c>
      <c r="R133" s="7">
        <v>0</v>
      </c>
      <c r="S133" s="7">
        <v>0</v>
      </c>
      <c r="T133" s="7">
        <f t="shared" si="2"/>
        <v>180000</v>
      </c>
      <c r="U133" s="6" t="s">
        <v>904</v>
      </c>
      <c r="V133" s="6" t="s">
        <v>961</v>
      </c>
      <c r="W133" s="7">
        <v>180000</v>
      </c>
      <c r="X133" s="7">
        <v>180000</v>
      </c>
      <c r="Y133" s="7">
        <v>180000</v>
      </c>
      <c r="Z133" s="7">
        <v>180000</v>
      </c>
      <c r="AA133" s="7">
        <v>180000</v>
      </c>
      <c r="AB133" s="6" t="s">
        <v>897</v>
      </c>
    </row>
    <row r="134" spans="1:28">
      <c r="A134" s="2" t="s">
        <v>962</v>
      </c>
      <c r="B134" s="3" t="s">
        <v>889</v>
      </c>
      <c r="C134" s="4"/>
      <c r="D134" s="5"/>
      <c r="E134" s="6" t="s">
        <v>832</v>
      </c>
      <c r="F134" s="6">
        <v>1996</v>
      </c>
      <c r="G134" s="6" t="s">
        <v>963</v>
      </c>
      <c r="H134" s="6" t="s">
        <v>889</v>
      </c>
      <c r="I134" s="6" t="s">
        <v>964</v>
      </c>
      <c r="J134" s="6" t="s">
        <v>965</v>
      </c>
      <c r="K134" s="6" t="s">
        <v>966</v>
      </c>
      <c r="L134" s="6" t="s">
        <v>967</v>
      </c>
      <c r="M134" s="6"/>
      <c r="N134" s="6" t="s">
        <v>35</v>
      </c>
      <c r="O134" s="6" t="s">
        <v>292</v>
      </c>
      <c r="P134" s="6" t="s">
        <v>37</v>
      </c>
      <c r="Q134" s="7">
        <v>180000</v>
      </c>
      <c r="R134" s="7">
        <v>0</v>
      </c>
      <c r="S134" s="7">
        <v>0</v>
      </c>
      <c r="T134" s="7">
        <f t="shared" si="2"/>
        <v>180000</v>
      </c>
      <c r="U134" s="6" t="s">
        <v>904</v>
      </c>
      <c r="V134" s="6" t="s">
        <v>968</v>
      </c>
      <c r="W134" s="7">
        <v>180000</v>
      </c>
      <c r="X134" s="7">
        <v>180000</v>
      </c>
      <c r="Y134" s="7">
        <v>180000</v>
      </c>
      <c r="Z134" s="7">
        <v>180000</v>
      </c>
      <c r="AA134" s="7">
        <v>180000</v>
      </c>
      <c r="AB134" s="6" t="s">
        <v>897</v>
      </c>
    </row>
    <row r="135" spans="1:28">
      <c r="A135" s="8" t="s">
        <v>969</v>
      </c>
      <c r="B135" s="9" t="s">
        <v>889</v>
      </c>
      <c r="C135" s="10"/>
      <c r="D135" s="11"/>
      <c r="E135" s="6" t="s">
        <v>832</v>
      </c>
      <c r="F135" s="6">
        <v>2004</v>
      </c>
      <c r="G135" s="6" t="s">
        <v>970</v>
      </c>
      <c r="H135" s="6" t="s">
        <v>889</v>
      </c>
      <c r="I135" s="6" t="s">
        <v>971</v>
      </c>
      <c r="J135" s="6" t="s">
        <v>972</v>
      </c>
      <c r="K135" s="6" t="s">
        <v>973</v>
      </c>
      <c r="L135" s="6" t="s">
        <v>974</v>
      </c>
      <c r="M135" s="6"/>
      <c r="N135" s="6" t="s">
        <v>35</v>
      </c>
      <c r="O135" s="6" t="s">
        <v>292</v>
      </c>
      <c r="P135" s="6" t="s">
        <v>37</v>
      </c>
      <c r="Q135" s="7">
        <v>180000</v>
      </c>
      <c r="R135" s="7">
        <v>0</v>
      </c>
      <c r="S135" s="7">
        <v>0</v>
      </c>
      <c r="T135" s="7">
        <f t="shared" si="2"/>
        <v>180000</v>
      </c>
      <c r="U135" s="6" t="s">
        <v>904</v>
      </c>
      <c r="V135" s="6" t="s">
        <v>975</v>
      </c>
      <c r="W135" s="7">
        <v>180000</v>
      </c>
      <c r="X135" s="7">
        <v>180000</v>
      </c>
      <c r="Y135" s="7">
        <v>180000</v>
      </c>
      <c r="Z135" s="7">
        <v>180000</v>
      </c>
      <c r="AA135" s="7">
        <v>180000</v>
      </c>
      <c r="AB135" s="6" t="s">
        <v>897</v>
      </c>
    </row>
    <row r="136" spans="1:28">
      <c r="A136" s="2" t="s">
        <v>976</v>
      </c>
      <c r="B136" s="3" t="s">
        <v>889</v>
      </c>
      <c r="C136" s="4"/>
      <c r="D136" s="5"/>
      <c r="E136" s="6" t="s">
        <v>832</v>
      </c>
      <c r="F136" s="6"/>
      <c r="G136" s="6" t="s">
        <v>977</v>
      </c>
      <c r="H136" s="6" t="s">
        <v>889</v>
      </c>
      <c r="I136" s="6" t="s">
        <v>978</v>
      </c>
      <c r="J136" s="6" t="s">
        <v>979</v>
      </c>
      <c r="K136" s="6" t="s">
        <v>980</v>
      </c>
      <c r="L136" s="6" t="s">
        <v>981</v>
      </c>
      <c r="M136" s="6">
        <v>100</v>
      </c>
      <c r="N136" s="6" t="s">
        <v>35</v>
      </c>
      <c r="O136" s="6" t="s">
        <v>292</v>
      </c>
      <c r="P136" s="6" t="s">
        <v>37</v>
      </c>
      <c r="Q136" s="7">
        <v>180000</v>
      </c>
      <c r="R136" s="7">
        <v>0</v>
      </c>
      <c r="S136" s="7">
        <v>0</v>
      </c>
      <c r="T136" s="7">
        <f t="shared" si="2"/>
        <v>180000</v>
      </c>
      <c r="U136" s="6" t="s">
        <v>904</v>
      </c>
      <c r="V136" s="6" t="s">
        <v>982</v>
      </c>
      <c r="W136" s="7">
        <v>180000</v>
      </c>
      <c r="X136" s="7">
        <v>180000</v>
      </c>
      <c r="Y136" s="7">
        <v>180000</v>
      </c>
      <c r="Z136" s="7">
        <v>180000</v>
      </c>
      <c r="AA136" s="7">
        <v>180000</v>
      </c>
      <c r="AB136" s="6" t="s">
        <v>897</v>
      </c>
    </row>
    <row r="137" ht="26.4" customHeight="1" spans="1:28">
      <c r="A137" s="8" t="s">
        <v>983</v>
      </c>
      <c r="B137" s="9" t="s">
        <v>889</v>
      </c>
      <c r="C137" s="10"/>
      <c r="D137" s="11"/>
      <c r="E137" s="6" t="s">
        <v>832</v>
      </c>
      <c r="F137" s="6">
        <v>1998</v>
      </c>
      <c r="G137" s="6" t="s">
        <v>931</v>
      </c>
      <c r="H137" s="6" t="s">
        <v>889</v>
      </c>
      <c r="I137" s="6" t="s">
        <v>984</v>
      </c>
      <c r="J137" s="6" t="s">
        <v>985</v>
      </c>
      <c r="K137" s="6" t="s">
        <v>986</v>
      </c>
      <c r="L137" s="6" t="s">
        <v>987</v>
      </c>
      <c r="M137" s="6"/>
      <c r="N137" s="6" t="s">
        <v>35</v>
      </c>
      <c r="O137" s="6" t="s">
        <v>292</v>
      </c>
      <c r="P137" s="6" t="s">
        <v>37</v>
      </c>
      <c r="Q137" s="7">
        <v>200000</v>
      </c>
      <c r="R137" s="7">
        <v>0</v>
      </c>
      <c r="S137" s="7">
        <v>0</v>
      </c>
      <c r="T137" s="7">
        <f t="shared" si="2"/>
        <v>200000</v>
      </c>
      <c r="U137" s="6" t="s">
        <v>904</v>
      </c>
      <c r="V137" s="6" t="s">
        <v>988</v>
      </c>
      <c r="W137" s="7">
        <v>200000</v>
      </c>
      <c r="X137" s="7">
        <v>200000</v>
      </c>
      <c r="Y137" s="7">
        <v>200000</v>
      </c>
      <c r="Z137" s="7">
        <v>200000</v>
      </c>
      <c r="AA137" s="7">
        <v>200000</v>
      </c>
      <c r="AB137" s="6" t="s">
        <v>897</v>
      </c>
    </row>
    <row r="138" spans="1:28">
      <c r="A138" s="2" t="s">
        <v>989</v>
      </c>
      <c r="B138" s="3" t="s">
        <v>889</v>
      </c>
      <c r="C138" s="4"/>
      <c r="D138" s="5"/>
      <c r="E138" s="6" t="s">
        <v>832</v>
      </c>
      <c r="F138" s="6">
        <v>2014</v>
      </c>
      <c r="G138" s="6" t="s">
        <v>951</v>
      </c>
      <c r="H138" s="6" t="s">
        <v>889</v>
      </c>
      <c r="I138" s="6" t="s">
        <v>990</v>
      </c>
      <c r="J138" s="6" t="s">
        <v>991</v>
      </c>
      <c r="K138" s="6" t="s">
        <v>992</v>
      </c>
      <c r="L138" s="6" t="s">
        <v>993</v>
      </c>
      <c r="M138" s="6">
        <v>60</v>
      </c>
      <c r="N138" s="6" t="s">
        <v>35</v>
      </c>
      <c r="O138" s="6" t="s">
        <v>292</v>
      </c>
      <c r="P138" s="6" t="s">
        <v>37</v>
      </c>
      <c r="Q138" s="7">
        <v>180000</v>
      </c>
      <c r="R138" s="7">
        <v>0</v>
      </c>
      <c r="S138" s="7">
        <v>0</v>
      </c>
      <c r="T138" s="7">
        <f t="shared" si="2"/>
        <v>180000</v>
      </c>
      <c r="U138" s="6" t="s">
        <v>904</v>
      </c>
      <c r="V138" s="6" t="s">
        <v>994</v>
      </c>
      <c r="W138" s="7">
        <v>180000</v>
      </c>
      <c r="X138" s="7">
        <v>180000</v>
      </c>
      <c r="Y138" s="7">
        <v>180000</v>
      </c>
      <c r="Z138" s="7">
        <v>180000</v>
      </c>
      <c r="AA138" s="7">
        <v>180000</v>
      </c>
      <c r="AB138" s="6" t="s">
        <v>897</v>
      </c>
    </row>
    <row r="139" spans="1:28">
      <c r="A139" s="8" t="s">
        <v>995</v>
      </c>
      <c r="B139" s="9" t="s">
        <v>889</v>
      </c>
      <c r="C139" s="10"/>
      <c r="D139" s="11"/>
      <c r="E139" s="6" t="s">
        <v>832</v>
      </c>
      <c r="F139" s="6">
        <v>1972</v>
      </c>
      <c r="G139" s="6" t="s">
        <v>996</v>
      </c>
      <c r="H139" s="6" t="s">
        <v>889</v>
      </c>
      <c r="I139" s="6" t="s">
        <v>997</v>
      </c>
      <c r="J139" s="6" t="s">
        <v>998</v>
      </c>
      <c r="K139" s="6" t="s">
        <v>999</v>
      </c>
      <c r="L139" s="6" t="s">
        <v>1000</v>
      </c>
      <c r="M139" s="6">
        <v>60</v>
      </c>
      <c r="N139" s="6" t="s">
        <v>35</v>
      </c>
      <c r="O139" s="6" t="s">
        <v>292</v>
      </c>
      <c r="P139" s="6"/>
      <c r="Q139" s="7">
        <v>180000</v>
      </c>
      <c r="R139" s="7">
        <v>0</v>
      </c>
      <c r="S139" s="7">
        <v>0</v>
      </c>
      <c r="T139" s="7">
        <f t="shared" si="2"/>
        <v>180000</v>
      </c>
      <c r="U139" s="6" t="s">
        <v>904</v>
      </c>
      <c r="V139" s="6" t="s">
        <v>1001</v>
      </c>
      <c r="W139" s="7">
        <v>180000</v>
      </c>
      <c r="X139" s="7">
        <v>180000</v>
      </c>
      <c r="Y139" s="7">
        <v>180000</v>
      </c>
      <c r="Z139" s="7">
        <v>180000</v>
      </c>
      <c r="AA139" s="7">
        <v>180000</v>
      </c>
      <c r="AB139" s="6" t="s">
        <v>897</v>
      </c>
    </row>
    <row r="140" ht="26.4" customHeight="1" spans="1:28">
      <c r="A140" s="2" t="s">
        <v>1002</v>
      </c>
      <c r="B140" s="3" t="s">
        <v>889</v>
      </c>
      <c r="C140" s="4"/>
      <c r="D140" s="5"/>
      <c r="E140" s="6" t="s">
        <v>832</v>
      </c>
      <c r="F140" s="6">
        <v>2002</v>
      </c>
      <c r="G140" s="6" t="s">
        <v>1003</v>
      </c>
      <c r="H140" s="6" t="s">
        <v>889</v>
      </c>
      <c r="I140" s="6" t="s">
        <v>1004</v>
      </c>
      <c r="J140" s="6" t="s">
        <v>1005</v>
      </c>
      <c r="K140" s="6"/>
      <c r="L140" s="6" t="s">
        <v>1006</v>
      </c>
      <c r="M140" s="6"/>
      <c r="N140" s="6" t="s">
        <v>35</v>
      </c>
      <c r="O140" s="6" t="s">
        <v>1007</v>
      </c>
      <c r="P140" s="6"/>
      <c r="Q140" s="7">
        <v>200000</v>
      </c>
      <c r="R140" s="7">
        <v>0</v>
      </c>
      <c r="S140" s="7">
        <v>0</v>
      </c>
      <c r="T140" s="7">
        <f t="shared" si="2"/>
        <v>200000</v>
      </c>
      <c r="U140" s="6" t="s">
        <v>904</v>
      </c>
      <c r="V140" s="6" t="s">
        <v>1008</v>
      </c>
      <c r="W140" s="7">
        <v>200000</v>
      </c>
      <c r="X140" s="7">
        <v>200000</v>
      </c>
      <c r="Y140" s="7">
        <v>200000</v>
      </c>
      <c r="Z140" s="7">
        <v>200000</v>
      </c>
      <c r="AA140" s="7">
        <v>200000</v>
      </c>
      <c r="AB140" s="6" t="s">
        <v>897</v>
      </c>
    </row>
    <row r="141" spans="1:28">
      <c r="A141" s="8" t="s">
        <v>1009</v>
      </c>
      <c r="B141" s="9" t="s">
        <v>889</v>
      </c>
      <c r="C141" s="10"/>
      <c r="D141" s="11"/>
      <c r="E141" s="6" t="s">
        <v>832</v>
      </c>
      <c r="F141" s="6">
        <v>1983</v>
      </c>
      <c r="G141" s="6" t="s">
        <v>899</v>
      </c>
      <c r="H141" s="6" t="s">
        <v>889</v>
      </c>
      <c r="I141" s="6" t="s">
        <v>1010</v>
      </c>
      <c r="J141" s="6" t="s">
        <v>1011</v>
      </c>
      <c r="K141" s="6" t="s">
        <v>1012</v>
      </c>
      <c r="L141" s="6" t="s">
        <v>1013</v>
      </c>
      <c r="M141" s="6">
        <v>60</v>
      </c>
      <c r="N141" s="6" t="s">
        <v>1014</v>
      </c>
      <c r="O141" s="6" t="s">
        <v>807</v>
      </c>
      <c r="P141" s="6" t="s">
        <v>37</v>
      </c>
      <c r="Q141" s="7">
        <v>180000</v>
      </c>
      <c r="R141" s="7">
        <v>0</v>
      </c>
      <c r="S141" s="7">
        <v>0</v>
      </c>
      <c r="T141" s="7">
        <f t="shared" si="2"/>
        <v>180000</v>
      </c>
      <c r="U141" s="6" t="s">
        <v>904</v>
      </c>
      <c r="V141" s="6" t="s">
        <v>1015</v>
      </c>
      <c r="W141" s="7">
        <v>180000</v>
      </c>
      <c r="X141" s="7">
        <v>180000</v>
      </c>
      <c r="Y141" s="7">
        <v>180000</v>
      </c>
      <c r="Z141" s="7">
        <v>180000</v>
      </c>
      <c r="AA141" s="7">
        <v>180000</v>
      </c>
      <c r="AB141" s="6" t="s">
        <v>897</v>
      </c>
    </row>
    <row r="142" spans="1:28">
      <c r="A142" s="2" t="s">
        <v>1016</v>
      </c>
      <c r="B142" s="3" t="s">
        <v>1017</v>
      </c>
      <c r="C142" s="4"/>
      <c r="D142" s="5"/>
      <c r="E142" s="6" t="s">
        <v>29</v>
      </c>
      <c r="F142" s="6">
        <v>2021</v>
      </c>
      <c r="G142" s="6" t="s">
        <v>1018</v>
      </c>
      <c r="H142" s="6" t="s">
        <v>1017</v>
      </c>
      <c r="I142" s="6" t="s">
        <v>1019</v>
      </c>
      <c r="J142" s="6" t="s">
        <v>1020</v>
      </c>
      <c r="K142" s="6" t="s">
        <v>1021</v>
      </c>
      <c r="L142" s="6" t="s">
        <v>1022</v>
      </c>
      <c r="M142" s="6">
        <v>60</v>
      </c>
      <c r="N142" s="6" t="s">
        <v>35</v>
      </c>
      <c r="O142" s="6" t="s">
        <v>1023</v>
      </c>
      <c r="P142" s="6" t="s">
        <v>37</v>
      </c>
      <c r="Q142" s="7">
        <v>240000</v>
      </c>
      <c r="R142" s="7">
        <v>0</v>
      </c>
      <c r="S142" s="7">
        <v>0</v>
      </c>
      <c r="T142" s="7">
        <f t="shared" si="2"/>
        <v>240000</v>
      </c>
      <c r="U142" s="6" t="s">
        <v>1024</v>
      </c>
      <c r="V142" s="6" t="s">
        <v>1025</v>
      </c>
      <c r="W142" s="7">
        <v>240000</v>
      </c>
      <c r="X142" s="7">
        <v>240000</v>
      </c>
      <c r="Y142" s="7">
        <v>240000</v>
      </c>
      <c r="Z142" s="7">
        <v>240000</v>
      </c>
      <c r="AA142" s="7">
        <v>240000</v>
      </c>
      <c r="AB142" s="6" t="s">
        <v>1026</v>
      </c>
    </row>
    <row r="143" ht="26.4" customHeight="1" spans="1:28">
      <c r="A143" s="8" t="s">
        <v>1027</v>
      </c>
      <c r="B143" s="9" t="s">
        <v>1017</v>
      </c>
      <c r="C143" s="10"/>
      <c r="D143" s="11"/>
      <c r="E143" s="6" t="s">
        <v>29</v>
      </c>
      <c r="F143" s="6">
        <v>2002</v>
      </c>
      <c r="G143" s="6" t="s">
        <v>1028</v>
      </c>
      <c r="H143" s="6" t="s">
        <v>1017</v>
      </c>
      <c r="I143" s="6" t="s">
        <v>1029</v>
      </c>
      <c r="J143" s="6"/>
      <c r="K143" s="6"/>
      <c r="L143" s="6" t="s">
        <v>1030</v>
      </c>
      <c r="M143" s="6">
        <v>60</v>
      </c>
      <c r="N143" s="6" t="s">
        <v>35</v>
      </c>
      <c r="O143" s="6" t="s">
        <v>1031</v>
      </c>
      <c r="P143" s="6"/>
      <c r="Q143" s="7">
        <v>221000</v>
      </c>
      <c r="R143" s="7">
        <v>0</v>
      </c>
      <c r="S143" s="7">
        <v>0</v>
      </c>
      <c r="T143" s="7">
        <f t="shared" si="2"/>
        <v>221000</v>
      </c>
      <c r="U143" s="6" t="s">
        <v>1024</v>
      </c>
      <c r="V143" s="6" t="s">
        <v>1032</v>
      </c>
      <c r="W143" s="7">
        <v>221000</v>
      </c>
      <c r="X143" s="7">
        <v>221000</v>
      </c>
      <c r="Y143" s="7">
        <v>221000</v>
      </c>
      <c r="Z143" s="7">
        <v>221000</v>
      </c>
      <c r="AA143" s="7">
        <v>221000</v>
      </c>
      <c r="AB143" s="6" t="s">
        <v>1033</v>
      </c>
    </row>
    <row r="144" spans="1:28">
      <c r="A144" s="2" t="s">
        <v>1034</v>
      </c>
      <c r="B144" s="3" t="s">
        <v>1017</v>
      </c>
      <c r="C144" s="4"/>
      <c r="D144" s="5"/>
      <c r="E144" s="6" t="s">
        <v>29</v>
      </c>
      <c r="F144" s="6">
        <v>2004</v>
      </c>
      <c r="G144" s="6" t="s">
        <v>1035</v>
      </c>
      <c r="H144" s="6" t="s">
        <v>1017</v>
      </c>
      <c r="I144" s="6" t="s">
        <v>1036</v>
      </c>
      <c r="J144" s="6" t="s">
        <v>1037</v>
      </c>
      <c r="K144" s="6" t="s">
        <v>1038</v>
      </c>
      <c r="L144" s="6" t="s">
        <v>1039</v>
      </c>
      <c r="M144" s="6">
        <v>60</v>
      </c>
      <c r="N144" s="6" t="s">
        <v>35</v>
      </c>
      <c r="O144" s="6" t="s">
        <v>1040</v>
      </c>
      <c r="P144" s="6" t="s">
        <v>37</v>
      </c>
      <c r="Q144" s="7"/>
      <c r="R144" s="7"/>
      <c r="S144" s="7"/>
      <c r="T144" s="7" t="str">
        <f t="shared" si="2"/>
        <v/>
      </c>
      <c r="U144" s="6" t="s">
        <v>1024</v>
      </c>
      <c r="V144" s="6" t="s">
        <v>1041</v>
      </c>
      <c r="W144" s="7"/>
      <c r="X144" s="7"/>
      <c r="Y144" s="7"/>
      <c r="Z144" s="7"/>
      <c r="AA144" s="7"/>
      <c r="AB144" s="6" t="s">
        <v>1042</v>
      </c>
    </row>
    <row r="145" spans="1:28">
      <c r="A145" s="8" t="s">
        <v>1043</v>
      </c>
      <c r="B145" s="9" t="s">
        <v>1017</v>
      </c>
      <c r="C145" s="10"/>
      <c r="D145" s="11"/>
      <c r="E145" s="6" t="s">
        <v>29</v>
      </c>
      <c r="F145" s="6">
        <v>2020</v>
      </c>
      <c r="G145" s="6" t="s">
        <v>1035</v>
      </c>
      <c r="H145" s="6" t="s">
        <v>1017</v>
      </c>
      <c r="I145" s="6" t="s">
        <v>1044</v>
      </c>
      <c r="J145" s="6" t="s">
        <v>1045</v>
      </c>
      <c r="K145" s="6" t="s">
        <v>1046</v>
      </c>
      <c r="L145" s="6" t="s">
        <v>1047</v>
      </c>
      <c r="M145" s="6">
        <v>60</v>
      </c>
      <c r="N145" s="6" t="s">
        <v>35</v>
      </c>
      <c r="O145" s="6" t="s">
        <v>1048</v>
      </c>
      <c r="P145" s="6" t="s">
        <v>37</v>
      </c>
      <c r="Q145" s="7">
        <v>215000</v>
      </c>
      <c r="R145" s="7">
        <v>0</v>
      </c>
      <c r="S145" s="7">
        <v>0</v>
      </c>
      <c r="T145" s="7">
        <f t="shared" si="2"/>
        <v>215000</v>
      </c>
      <c r="U145" s="6" t="s">
        <v>1024</v>
      </c>
      <c r="V145" s="6" t="s">
        <v>1049</v>
      </c>
      <c r="W145" s="7">
        <v>215000</v>
      </c>
      <c r="X145" s="7">
        <v>215000</v>
      </c>
      <c r="Y145" s="7">
        <v>215000</v>
      </c>
      <c r="Z145" s="7">
        <v>215000</v>
      </c>
      <c r="AA145" s="7">
        <v>215000</v>
      </c>
      <c r="AB145" s="6" t="s">
        <v>1033</v>
      </c>
    </row>
    <row r="146" ht="26.4" customHeight="1" spans="1:28">
      <c r="A146" s="2" t="s">
        <v>1050</v>
      </c>
      <c r="B146" s="3" t="s">
        <v>1017</v>
      </c>
      <c r="C146" s="4"/>
      <c r="D146" s="5"/>
      <c r="E146" s="6" t="s">
        <v>29</v>
      </c>
      <c r="F146" s="6">
        <v>2017</v>
      </c>
      <c r="G146" s="6" t="s">
        <v>1028</v>
      </c>
      <c r="H146" s="6" t="s">
        <v>1017</v>
      </c>
      <c r="I146" s="6" t="s">
        <v>1051</v>
      </c>
      <c r="J146" s="6" t="s">
        <v>1052</v>
      </c>
      <c r="K146" s="6" t="s">
        <v>1053</v>
      </c>
      <c r="L146" s="6" t="s">
        <v>1054</v>
      </c>
      <c r="M146" s="6">
        <v>60</v>
      </c>
      <c r="N146" s="6" t="s">
        <v>35</v>
      </c>
      <c r="O146" s="6" t="s">
        <v>1055</v>
      </c>
      <c r="P146" s="6" t="s">
        <v>37</v>
      </c>
      <c r="Q146" s="7">
        <v>350000</v>
      </c>
      <c r="R146" s="7">
        <v>0</v>
      </c>
      <c r="S146" s="7">
        <v>0</v>
      </c>
      <c r="T146" s="7">
        <f t="shared" si="2"/>
        <v>350000</v>
      </c>
      <c r="U146" s="6" t="s">
        <v>1024</v>
      </c>
      <c r="V146" s="6" t="s">
        <v>1056</v>
      </c>
      <c r="W146" s="7">
        <v>350000</v>
      </c>
      <c r="X146" s="7">
        <v>350000</v>
      </c>
      <c r="Y146" s="7">
        <v>350000</v>
      </c>
      <c r="Z146" s="7">
        <v>350000</v>
      </c>
      <c r="AA146" s="7">
        <v>350000</v>
      </c>
      <c r="AB146" s="6" t="s">
        <v>1033</v>
      </c>
    </row>
    <row r="147" ht="26.4" customHeight="1" spans="1:28">
      <c r="A147" s="8" t="s">
        <v>1057</v>
      </c>
      <c r="B147" s="9" t="s">
        <v>1017</v>
      </c>
      <c r="C147" s="10"/>
      <c r="D147" s="11"/>
      <c r="E147" s="6" t="s">
        <v>29</v>
      </c>
      <c r="F147" s="6">
        <v>2015</v>
      </c>
      <c r="G147" s="6" t="s">
        <v>1028</v>
      </c>
      <c r="H147" s="6" t="s">
        <v>1017</v>
      </c>
      <c r="I147" s="6" t="s">
        <v>1058</v>
      </c>
      <c r="J147" s="6" t="s">
        <v>1059</v>
      </c>
      <c r="K147" s="6"/>
      <c r="L147" s="6" t="s">
        <v>1060</v>
      </c>
      <c r="M147" s="6">
        <v>60</v>
      </c>
      <c r="N147" s="6" t="s">
        <v>35</v>
      </c>
      <c r="O147" s="6" t="s">
        <v>1061</v>
      </c>
      <c r="P147" s="6" t="s">
        <v>37</v>
      </c>
      <c r="Q147" s="7">
        <v>204600</v>
      </c>
      <c r="R147" s="7">
        <v>0</v>
      </c>
      <c r="S147" s="7">
        <v>0</v>
      </c>
      <c r="T147" s="7">
        <f t="shared" si="2"/>
        <v>204600</v>
      </c>
      <c r="U147" s="6" t="s">
        <v>1024</v>
      </c>
      <c r="V147" s="6" t="s">
        <v>1062</v>
      </c>
      <c r="W147" s="7">
        <v>204600</v>
      </c>
      <c r="X147" s="7">
        <v>204600</v>
      </c>
      <c r="Y147" s="7">
        <v>204600</v>
      </c>
      <c r="Z147" s="7">
        <v>204600</v>
      </c>
      <c r="AA147" s="7">
        <v>204600</v>
      </c>
      <c r="AB147" s="6" t="s">
        <v>1033</v>
      </c>
    </row>
    <row r="148" ht="26.4" customHeight="1" spans="1:28">
      <c r="A148" s="2" t="s">
        <v>1063</v>
      </c>
      <c r="B148" s="3" t="s">
        <v>1017</v>
      </c>
      <c r="C148" s="4"/>
      <c r="D148" s="5"/>
      <c r="E148" s="6" t="s">
        <v>29</v>
      </c>
      <c r="F148" s="6">
        <v>2013</v>
      </c>
      <c r="G148" s="6" t="s">
        <v>1018</v>
      </c>
      <c r="H148" s="6" t="s">
        <v>1017</v>
      </c>
      <c r="I148" s="6" t="s">
        <v>1064</v>
      </c>
      <c r="J148" s="6" t="s">
        <v>1065</v>
      </c>
      <c r="K148" s="6" t="s">
        <v>1066</v>
      </c>
      <c r="L148" s="6" t="s">
        <v>1067</v>
      </c>
      <c r="M148" s="6">
        <v>60</v>
      </c>
      <c r="N148" s="6" t="s">
        <v>35</v>
      </c>
      <c r="O148" s="6" t="s">
        <v>1068</v>
      </c>
      <c r="P148" s="6" t="s">
        <v>37</v>
      </c>
      <c r="Q148" s="7">
        <v>540000</v>
      </c>
      <c r="R148" s="7">
        <v>0</v>
      </c>
      <c r="S148" s="7">
        <v>0</v>
      </c>
      <c r="T148" s="7">
        <f t="shared" si="2"/>
        <v>540000</v>
      </c>
      <c r="U148" s="6" t="s">
        <v>1024</v>
      </c>
      <c r="V148" s="6" t="s">
        <v>1069</v>
      </c>
      <c r="W148" s="7">
        <v>540000</v>
      </c>
      <c r="X148" s="7">
        <v>540000</v>
      </c>
      <c r="Y148" s="7">
        <v>540000</v>
      </c>
      <c r="Z148" s="7">
        <v>540000</v>
      </c>
      <c r="AA148" s="7">
        <v>540000</v>
      </c>
      <c r="AB148" s="6" t="s">
        <v>1033</v>
      </c>
    </row>
    <row r="149" ht="26.4" customHeight="1" spans="1:28">
      <c r="A149" s="8" t="s">
        <v>1070</v>
      </c>
      <c r="B149" s="9" t="s">
        <v>1017</v>
      </c>
      <c r="C149" s="10"/>
      <c r="D149" s="11"/>
      <c r="E149" s="6" t="s">
        <v>29</v>
      </c>
      <c r="F149" s="6">
        <v>2005</v>
      </c>
      <c r="G149" s="6" t="s">
        <v>1028</v>
      </c>
      <c r="H149" s="6" t="s">
        <v>1017</v>
      </c>
      <c r="I149" s="6" t="s">
        <v>1071</v>
      </c>
      <c r="J149" s="6" t="s">
        <v>1072</v>
      </c>
      <c r="K149" s="6" t="s">
        <v>1073</v>
      </c>
      <c r="L149" s="6" t="s">
        <v>1074</v>
      </c>
      <c r="M149" s="6">
        <v>60</v>
      </c>
      <c r="N149" s="6" t="s">
        <v>35</v>
      </c>
      <c r="O149" s="6" t="s">
        <v>1075</v>
      </c>
      <c r="P149" s="6" t="s">
        <v>37</v>
      </c>
      <c r="Q149" s="7">
        <v>300000</v>
      </c>
      <c r="R149" s="7">
        <v>0</v>
      </c>
      <c r="S149" s="7">
        <v>0</v>
      </c>
      <c r="T149" s="7">
        <f t="shared" si="2"/>
        <v>300000</v>
      </c>
      <c r="U149" s="6" t="s">
        <v>1024</v>
      </c>
      <c r="V149" s="6" t="s">
        <v>1076</v>
      </c>
      <c r="W149" s="7">
        <v>300000</v>
      </c>
      <c r="X149" s="7">
        <v>300000</v>
      </c>
      <c r="Y149" s="7">
        <v>300000</v>
      </c>
      <c r="Z149" s="7">
        <v>300000</v>
      </c>
      <c r="AA149" s="7">
        <v>300000</v>
      </c>
      <c r="AB149" s="6" t="s">
        <v>1033</v>
      </c>
    </row>
    <row r="150" spans="1:28">
      <c r="A150" s="2" t="s">
        <v>1077</v>
      </c>
      <c r="B150" s="3" t="s">
        <v>1017</v>
      </c>
      <c r="C150" s="4"/>
      <c r="D150" s="5"/>
      <c r="E150" s="6" t="s">
        <v>29</v>
      </c>
      <c r="F150" s="6">
        <v>2004</v>
      </c>
      <c r="G150" s="6" t="s">
        <v>1035</v>
      </c>
      <c r="H150" s="6" t="s">
        <v>1017</v>
      </c>
      <c r="I150" s="6" t="s">
        <v>1078</v>
      </c>
      <c r="J150" s="6" t="s">
        <v>1079</v>
      </c>
      <c r="K150" s="6" t="s">
        <v>1080</v>
      </c>
      <c r="L150" s="6" t="s">
        <v>1081</v>
      </c>
      <c r="M150" s="6">
        <v>100</v>
      </c>
      <c r="N150" s="6" t="s">
        <v>35</v>
      </c>
      <c r="O150" s="6" t="s">
        <v>1082</v>
      </c>
      <c r="P150" s="6" t="s">
        <v>37</v>
      </c>
      <c r="Q150" s="7">
        <v>250000</v>
      </c>
      <c r="R150" s="7">
        <v>0</v>
      </c>
      <c r="S150" s="7">
        <v>0</v>
      </c>
      <c r="T150" s="7">
        <f t="shared" si="2"/>
        <v>250000</v>
      </c>
      <c r="U150" s="6" t="s">
        <v>1024</v>
      </c>
      <c r="V150" s="6" t="s">
        <v>1083</v>
      </c>
      <c r="W150" s="7">
        <v>250000</v>
      </c>
      <c r="X150" s="7">
        <v>250000</v>
      </c>
      <c r="Y150" s="7">
        <v>250000</v>
      </c>
      <c r="Z150" s="7">
        <v>250000</v>
      </c>
      <c r="AA150" s="7">
        <v>250000</v>
      </c>
      <c r="AB150" s="6" t="s">
        <v>1033</v>
      </c>
    </row>
    <row r="151" spans="1:28">
      <c r="A151" s="8" t="s">
        <v>1084</v>
      </c>
      <c r="B151" s="9" t="s">
        <v>1017</v>
      </c>
      <c r="C151" s="10"/>
      <c r="D151" s="11"/>
      <c r="E151" s="6" t="s">
        <v>29</v>
      </c>
      <c r="F151" s="6">
        <v>1970</v>
      </c>
      <c r="G151" s="6" t="s">
        <v>1035</v>
      </c>
      <c r="H151" s="6" t="s">
        <v>1017</v>
      </c>
      <c r="I151" s="6" t="s">
        <v>1085</v>
      </c>
      <c r="J151" s="6"/>
      <c r="K151" s="6"/>
      <c r="L151" s="6"/>
      <c r="M151" s="6">
        <v>60</v>
      </c>
      <c r="N151" s="6" t="s">
        <v>35</v>
      </c>
      <c r="O151" s="6" t="s">
        <v>1086</v>
      </c>
      <c r="P151" s="6"/>
      <c r="Q151" s="7">
        <v>245000</v>
      </c>
      <c r="R151" s="7">
        <v>0</v>
      </c>
      <c r="S151" s="7">
        <v>0</v>
      </c>
      <c r="T151" s="7">
        <f t="shared" si="2"/>
        <v>245000</v>
      </c>
      <c r="U151" s="6" t="s">
        <v>1024</v>
      </c>
      <c r="V151" s="6" t="s">
        <v>1087</v>
      </c>
      <c r="W151" s="7">
        <v>245000</v>
      </c>
      <c r="X151" s="7">
        <v>245000</v>
      </c>
      <c r="Y151" s="7">
        <v>245000</v>
      </c>
      <c r="Z151" s="7">
        <v>245000</v>
      </c>
      <c r="AA151" s="7">
        <v>245000</v>
      </c>
      <c r="AB151" s="6" t="s">
        <v>1033</v>
      </c>
    </row>
    <row r="152" spans="1:28">
      <c r="A152" s="2" t="s">
        <v>1088</v>
      </c>
      <c r="B152" s="3" t="s">
        <v>1017</v>
      </c>
      <c r="C152" s="4"/>
      <c r="D152" s="5"/>
      <c r="E152" s="6" t="s">
        <v>29</v>
      </c>
      <c r="F152" s="6">
        <v>2009</v>
      </c>
      <c r="G152" s="6" t="s">
        <v>1018</v>
      </c>
      <c r="H152" s="6" t="s">
        <v>1017</v>
      </c>
      <c r="I152" s="6" t="s">
        <v>1089</v>
      </c>
      <c r="J152" s="6" t="s">
        <v>1090</v>
      </c>
      <c r="K152" s="6" t="s">
        <v>1091</v>
      </c>
      <c r="L152" s="6" t="s">
        <v>1092</v>
      </c>
      <c r="M152" s="6">
        <v>100</v>
      </c>
      <c r="N152" s="6" t="s">
        <v>35</v>
      </c>
      <c r="O152" s="6" t="s">
        <v>1093</v>
      </c>
      <c r="P152" s="6"/>
      <c r="Q152" s="7">
        <v>287000</v>
      </c>
      <c r="R152" s="7">
        <v>0</v>
      </c>
      <c r="S152" s="7">
        <v>0</v>
      </c>
      <c r="T152" s="7">
        <f t="shared" si="2"/>
        <v>287000</v>
      </c>
      <c r="U152" s="6" t="s">
        <v>1024</v>
      </c>
      <c r="V152" s="6" t="s">
        <v>1094</v>
      </c>
      <c r="W152" s="7">
        <v>287000</v>
      </c>
      <c r="X152" s="7">
        <v>287000</v>
      </c>
      <c r="Y152" s="7">
        <v>287000</v>
      </c>
      <c r="Z152" s="7">
        <v>287000</v>
      </c>
      <c r="AA152" s="7">
        <v>287000</v>
      </c>
      <c r="AB152" s="6" t="s">
        <v>1033</v>
      </c>
    </row>
    <row r="153" spans="1:28">
      <c r="A153" s="8" t="s">
        <v>1095</v>
      </c>
      <c r="B153" s="9" t="s">
        <v>1017</v>
      </c>
      <c r="C153" s="10"/>
      <c r="D153" s="11"/>
      <c r="E153" s="6" t="s">
        <v>29</v>
      </c>
      <c r="F153" s="6">
        <v>2010</v>
      </c>
      <c r="G153" s="6" t="s">
        <v>1035</v>
      </c>
      <c r="H153" s="6" t="s">
        <v>1017</v>
      </c>
      <c r="I153" s="6" t="s">
        <v>1044</v>
      </c>
      <c r="J153" s="6" t="s">
        <v>1096</v>
      </c>
      <c r="K153" s="6" t="s">
        <v>1097</v>
      </c>
      <c r="L153" s="6" t="s">
        <v>1098</v>
      </c>
      <c r="M153" s="6">
        <v>60</v>
      </c>
      <c r="N153" s="6" t="s">
        <v>35</v>
      </c>
      <c r="O153" s="6" t="s">
        <v>1099</v>
      </c>
      <c r="P153" s="6" t="s">
        <v>37</v>
      </c>
      <c r="Q153" s="7">
        <v>260000</v>
      </c>
      <c r="R153" s="7">
        <v>0</v>
      </c>
      <c r="S153" s="7">
        <v>0</v>
      </c>
      <c r="T153" s="7">
        <f t="shared" si="2"/>
        <v>260000</v>
      </c>
      <c r="U153" s="6" t="s">
        <v>1024</v>
      </c>
      <c r="V153" s="6" t="s">
        <v>1100</v>
      </c>
      <c r="W153" s="7">
        <v>260000</v>
      </c>
      <c r="X153" s="7">
        <v>260000</v>
      </c>
      <c r="Y153" s="7">
        <v>260000</v>
      </c>
      <c r="Z153" s="7">
        <v>260000</v>
      </c>
      <c r="AA153" s="7">
        <v>260000</v>
      </c>
      <c r="AB153" s="6" t="s">
        <v>1033</v>
      </c>
    </row>
    <row r="154" ht="26.4" customHeight="1" spans="1:28">
      <c r="A154" s="2" t="s">
        <v>1101</v>
      </c>
      <c r="B154" s="3" t="s">
        <v>1017</v>
      </c>
      <c r="C154" s="4"/>
      <c r="D154" s="5"/>
      <c r="E154" s="6" t="s">
        <v>29</v>
      </c>
      <c r="F154" s="6">
        <v>2004</v>
      </c>
      <c r="G154" s="6" t="s">
        <v>1028</v>
      </c>
      <c r="H154" s="6" t="s">
        <v>1017</v>
      </c>
      <c r="I154" s="6" t="s">
        <v>1102</v>
      </c>
      <c r="J154" s="6" t="s">
        <v>1103</v>
      </c>
      <c r="K154" s="6" t="s">
        <v>1104</v>
      </c>
      <c r="L154" s="6" t="s">
        <v>1105</v>
      </c>
      <c r="M154" s="6">
        <v>60</v>
      </c>
      <c r="N154" s="6" t="s">
        <v>35</v>
      </c>
      <c r="O154" s="6" t="s">
        <v>1106</v>
      </c>
      <c r="P154" s="6" t="s">
        <v>37</v>
      </c>
      <c r="Q154" s="7">
        <v>260000</v>
      </c>
      <c r="R154" s="7">
        <v>0</v>
      </c>
      <c r="S154" s="7">
        <v>0</v>
      </c>
      <c r="T154" s="7">
        <f t="shared" si="2"/>
        <v>260000</v>
      </c>
      <c r="U154" s="6" t="s">
        <v>1024</v>
      </c>
      <c r="V154" s="6" t="s">
        <v>1107</v>
      </c>
      <c r="W154" s="7">
        <v>260000</v>
      </c>
      <c r="X154" s="7">
        <v>260000</v>
      </c>
      <c r="Y154" s="7">
        <v>260000</v>
      </c>
      <c r="Z154" s="7">
        <v>260000</v>
      </c>
      <c r="AA154" s="7">
        <v>260000</v>
      </c>
      <c r="AB154" s="6" t="s">
        <v>1033</v>
      </c>
    </row>
    <row r="155" spans="1:28">
      <c r="A155" s="8" t="s">
        <v>1108</v>
      </c>
      <c r="B155" s="9" t="s">
        <v>1017</v>
      </c>
      <c r="C155" s="10"/>
      <c r="D155" s="11"/>
      <c r="E155" s="6" t="s">
        <v>29</v>
      </c>
      <c r="F155" s="6"/>
      <c r="G155" s="6" t="s">
        <v>1109</v>
      </c>
      <c r="H155" s="6" t="s">
        <v>1017</v>
      </c>
      <c r="I155" s="6" t="s">
        <v>1110</v>
      </c>
      <c r="J155" s="6"/>
      <c r="K155" s="6"/>
      <c r="L155" s="6"/>
      <c r="M155" s="6">
        <v>60</v>
      </c>
      <c r="N155" s="6" t="s">
        <v>35</v>
      </c>
      <c r="O155" s="6"/>
      <c r="P155" s="6"/>
      <c r="Q155" s="7">
        <v>200000</v>
      </c>
      <c r="R155" s="7">
        <v>0</v>
      </c>
      <c r="S155" s="7">
        <v>0</v>
      </c>
      <c r="T155" s="7">
        <f t="shared" si="2"/>
        <v>200000</v>
      </c>
      <c r="U155" s="6" t="s">
        <v>1024</v>
      </c>
      <c r="V155" s="6" t="s">
        <v>1111</v>
      </c>
      <c r="W155" s="7">
        <v>200000</v>
      </c>
      <c r="X155" s="7">
        <v>200000</v>
      </c>
      <c r="Y155" s="7">
        <v>200000</v>
      </c>
      <c r="Z155" s="7">
        <v>200000</v>
      </c>
      <c r="AA155" s="7">
        <v>200000</v>
      </c>
      <c r="AB155" s="6" t="s">
        <v>1033</v>
      </c>
    </row>
    <row r="156" spans="1:28">
      <c r="A156" s="2" t="s">
        <v>1112</v>
      </c>
      <c r="B156" s="3" t="s">
        <v>1017</v>
      </c>
      <c r="C156" s="4"/>
      <c r="D156" s="5"/>
      <c r="E156" s="6" t="s">
        <v>29</v>
      </c>
      <c r="F156" s="6"/>
      <c r="G156" s="6" t="s">
        <v>1113</v>
      </c>
      <c r="H156" s="6" t="s">
        <v>1017</v>
      </c>
      <c r="I156" s="6" t="s">
        <v>1114</v>
      </c>
      <c r="J156" s="6"/>
      <c r="K156" s="6"/>
      <c r="L156" s="6"/>
      <c r="M156" s="6">
        <v>60</v>
      </c>
      <c r="N156" s="6" t="s">
        <v>35</v>
      </c>
      <c r="O156" s="6"/>
      <c r="P156" s="6"/>
      <c r="Q156" s="7">
        <v>250000</v>
      </c>
      <c r="R156" s="7">
        <v>0</v>
      </c>
      <c r="S156" s="7">
        <v>0</v>
      </c>
      <c r="T156" s="7">
        <f t="shared" si="2"/>
        <v>250000</v>
      </c>
      <c r="U156" s="6" t="s">
        <v>1024</v>
      </c>
      <c r="V156" s="6" t="s">
        <v>1083</v>
      </c>
      <c r="W156" s="7">
        <v>250000</v>
      </c>
      <c r="X156" s="7">
        <v>250000</v>
      </c>
      <c r="Y156" s="7">
        <v>250000</v>
      </c>
      <c r="Z156" s="7">
        <v>250000</v>
      </c>
      <c r="AA156" s="7">
        <v>250000</v>
      </c>
      <c r="AB156" s="6" t="s">
        <v>1033</v>
      </c>
    </row>
    <row r="157" spans="1:28">
      <c r="A157" s="8" t="s">
        <v>1115</v>
      </c>
      <c r="B157" s="9" t="s">
        <v>1017</v>
      </c>
      <c r="C157" s="10"/>
      <c r="D157" s="11"/>
      <c r="E157" s="6" t="s">
        <v>29</v>
      </c>
      <c r="F157" s="6">
        <v>2001</v>
      </c>
      <c r="G157" s="6" t="s">
        <v>1028</v>
      </c>
      <c r="H157" s="6" t="s">
        <v>1017</v>
      </c>
      <c r="I157" s="6" t="s">
        <v>1116</v>
      </c>
      <c r="J157" s="6" t="s">
        <v>779</v>
      </c>
      <c r="K157" s="6" t="s">
        <v>1117</v>
      </c>
      <c r="L157" s="6" t="s">
        <v>1118</v>
      </c>
      <c r="M157" s="6">
        <v>100</v>
      </c>
      <c r="N157" s="6" t="s">
        <v>1119</v>
      </c>
      <c r="O157" s="6" t="s">
        <v>1120</v>
      </c>
      <c r="P157" s="6" t="s">
        <v>37</v>
      </c>
      <c r="Q157" s="7">
        <v>300000</v>
      </c>
      <c r="R157" s="7">
        <v>0</v>
      </c>
      <c r="S157" s="7">
        <v>0</v>
      </c>
      <c r="T157" s="7">
        <f t="shared" si="2"/>
        <v>300000</v>
      </c>
      <c r="U157" s="6" t="s">
        <v>1024</v>
      </c>
      <c r="V157" s="6" t="s">
        <v>1121</v>
      </c>
      <c r="W157" s="7">
        <v>300000</v>
      </c>
      <c r="X157" s="7">
        <v>300000</v>
      </c>
      <c r="Y157" s="7">
        <v>300000</v>
      </c>
      <c r="Z157" s="7">
        <v>300000</v>
      </c>
      <c r="AA157" s="7">
        <v>300000</v>
      </c>
      <c r="AB157" s="6" t="s">
        <v>1033</v>
      </c>
    </row>
    <row r="158" ht="26.4" customHeight="1" spans="1:28">
      <c r="A158" s="2" t="s">
        <v>1122</v>
      </c>
      <c r="B158" s="3" t="s">
        <v>1017</v>
      </c>
      <c r="C158" s="4"/>
      <c r="D158" s="5"/>
      <c r="E158" s="6" t="s">
        <v>29</v>
      </c>
      <c r="F158" s="6">
        <v>2021</v>
      </c>
      <c r="G158" s="6" t="s">
        <v>1028</v>
      </c>
      <c r="H158" s="6" t="s">
        <v>1017</v>
      </c>
      <c r="I158" s="6" t="s">
        <v>1123</v>
      </c>
      <c r="J158" s="6" t="s">
        <v>1124</v>
      </c>
      <c r="K158" s="6" t="s">
        <v>1125</v>
      </c>
      <c r="L158" s="6" t="s">
        <v>1126</v>
      </c>
      <c r="M158" s="6">
        <v>100</v>
      </c>
      <c r="N158" s="6" t="s">
        <v>35</v>
      </c>
      <c r="O158" s="6" t="s">
        <v>1127</v>
      </c>
      <c r="P158" s="6" t="s">
        <v>37</v>
      </c>
      <c r="Q158" s="7">
        <v>215000</v>
      </c>
      <c r="R158" s="7">
        <v>0</v>
      </c>
      <c r="S158" s="7">
        <v>0</v>
      </c>
      <c r="T158" s="7">
        <f t="shared" si="2"/>
        <v>215000</v>
      </c>
      <c r="U158" s="6" t="s">
        <v>1024</v>
      </c>
      <c r="V158" s="6" t="s">
        <v>1128</v>
      </c>
      <c r="W158" s="7">
        <v>215000</v>
      </c>
      <c r="X158" s="7">
        <v>215000</v>
      </c>
      <c r="Y158" s="7">
        <v>215000</v>
      </c>
      <c r="Z158" s="7">
        <v>215000</v>
      </c>
      <c r="AA158" s="7">
        <v>215000</v>
      </c>
      <c r="AB158" s="6" t="s">
        <v>1042</v>
      </c>
    </row>
    <row r="159" spans="1:28">
      <c r="A159" s="2" t="s">
        <v>1129</v>
      </c>
      <c r="B159" s="3" t="s">
        <v>1130</v>
      </c>
      <c r="C159" s="4">
        <v>155135</v>
      </c>
      <c r="D159" s="5">
        <v>431</v>
      </c>
      <c r="E159" s="6" t="s">
        <v>1131</v>
      </c>
      <c r="F159" s="6">
        <v>2015</v>
      </c>
      <c r="G159" s="6" t="s">
        <v>1132</v>
      </c>
      <c r="H159" s="6" t="s">
        <v>1130</v>
      </c>
      <c r="I159" s="6" t="s">
        <v>1133</v>
      </c>
      <c r="J159" s="6"/>
      <c r="K159" s="6"/>
      <c r="L159" s="6" t="s">
        <v>1134</v>
      </c>
      <c r="M159" s="6">
        <v>51</v>
      </c>
      <c r="N159" s="6" t="s">
        <v>35</v>
      </c>
      <c r="O159" s="6" t="s">
        <v>1135</v>
      </c>
      <c r="P159" s="6" t="s">
        <v>37</v>
      </c>
      <c r="Q159" s="7">
        <v>128315</v>
      </c>
      <c r="R159" s="7">
        <v>0</v>
      </c>
      <c r="S159" s="7">
        <v>0</v>
      </c>
      <c r="T159" s="7">
        <f t="shared" si="2"/>
        <v>128315</v>
      </c>
      <c r="U159" s="6" t="s">
        <v>1136</v>
      </c>
      <c r="V159" s="6" t="s">
        <v>1137</v>
      </c>
      <c r="W159" s="7">
        <v>128315</v>
      </c>
      <c r="X159" s="7">
        <v>128315</v>
      </c>
      <c r="Y159" s="7">
        <v>128315</v>
      </c>
      <c r="Z159" s="7">
        <v>128315</v>
      </c>
      <c r="AA159" s="7">
        <v>128315</v>
      </c>
      <c r="AB159" s="6" t="s">
        <v>1138</v>
      </c>
    </row>
    <row r="160" spans="1:28">
      <c r="A160" s="8" t="s">
        <v>1139</v>
      </c>
      <c r="B160" s="9" t="s">
        <v>1130</v>
      </c>
      <c r="C160" s="10">
        <v>190365</v>
      </c>
      <c r="D160" s="11">
        <v>411</v>
      </c>
      <c r="E160" s="6" t="s">
        <v>29</v>
      </c>
      <c r="F160" s="6">
        <v>2002</v>
      </c>
      <c r="G160" s="6" t="s">
        <v>1140</v>
      </c>
      <c r="H160" s="6" t="s">
        <v>1130</v>
      </c>
      <c r="I160" s="6" t="s">
        <v>1141</v>
      </c>
      <c r="J160" s="6" t="s">
        <v>1142</v>
      </c>
      <c r="K160" s="6" t="s">
        <v>1143</v>
      </c>
      <c r="L160" s="6" t="s">
        <v>1144</v>
      </c>
      <c r="M160" s="6">
        <v>45</v>
      </c>
      <c r="N160" s="6" t="s">
        <v>35</v>
      </c>
      <c r="O160" s="6" t="s">
        <v>1145</v>
      </c>
      <c r="P160" s="6" t="s">
        <v>37</v>
      </c>
      <c r="Q160" s="7">
        <v>128315</v>
      </c>
      <c r="R160" s="7">
        <v>0</v>
      </c>
      <c r="S160" s="7">
        <v>0</v>
      </c>
      <c r="T160" s="7">
        <f t="shared" si="2"/>
        <v>128315</v>
      </c>
      <c r="U160" s="6" t="s">
        <v>1136</v>
      </c>
      <c r="V160" s="6" t="s">
        <v>1146</v>
      </c>
      <c r="W160" s="7">
        <v>128315</v>
      </c>
      <c r="X160" s="7">
        <v>128315</v>
      </c>
      <c r="Y160" s="7">
        <v>128315</v>
      </c>
      <c r="Z160" s="7">
        <v>128315</v>
      </c>
      <c r="AA160" s="7">
        <v>128315</v>
      </c>
      <c r="AB160" s="6" t="s">
        <v>1138</v>
      </c>
    </row>
    <row r="161" spans="1:28">
      <c r="A161" s="2" t="s">
        <v>1147</v>
      </c>
      <c r="B161" s="3" t="s">
        <v>1130</v>
      </c>
      <c r="C161" s="4">
        <v>384940</v>
      </c>
      <c r="D161" s="5">
        <v>323</v>
      </c>
      <c r="E161" s="6" t="s">
        <v>29</v>
      </c>
      <c r="F161" s="6">
        <v>1997</v>
      </c>
      <c r="G161" s="6" t="s">
        <v>1140</v>
      </c>
      <c r="H161" s="6" t="s">
        <v>1130</v>
      </c>
      <c r="I161" s="6" t="s">
        <v>1148</v>
      </c>
      <c r="J161" s="6" t="s">
        <v>1149</v>
      </c>
      <c r="K161" s="6" t="s">
        <v>1150</v>
      </c>
      <c r="L161" s="6" t="s">
        <v>1151</v>
      </c>
      <c r="M161" s="6">
        <v>100</v>
      </c>
      <c r="N161" s="6" t="s">
        <v>35</v>
      </c>
      <c r="O161" s="6" t="s">
        <v>1152</v>
      </c>
      <c r="P161" s="6" t="s">
        <v>37</v>
      </c>
      <c r="Q161" s="7">
        <v>128315</v>
      </c>
      <c r="R161" s="7">
        <v>0</v>
      </c>
      <c r="S161" s="7">
        <v>0</v>
      </c>
      <c r="T161" s="7">
        <f t="shared" si="2"/>
        <v>128315</v>
      </c>
      <c r="U161" s="6" t="s">
        <v>1136</v>
      </c>
      <c r="V161" s="6" t="s">
        <v>1153</v>
      </c>
      <c r="W161" s="7">
        <v>128315</v>
      </c>
      <c r="X161" s="7">
        <v>128315</v>
      </c>
      <c r="Y161" s="7">
        <v>128315</v>
      </c>
      <c r="Z161" s="7">
        <v>128315</v>
      </c>
      <c r="AA161" s="7">
        <v>128315</v>
      </c>
      <c r="AB161" s="6" t="s">
        <v>1138</v>
      </c>
    </row>
    <row r="162" spans="1:28">
      <c r="A162" s="8" t="s">
        <v>1154</v>
      </c>
      <c r="B162" s="9" t="s">
        <v>1130</v>
      </c>
      <c r="C162" s="10">
        <v>391763</v>
      </c>
      <c r="D162" s="11">
        <v>320</v>
      </c>
      <c r="E162" s="6" t="s">
        <v>1131</v>
      </c>
      <c r="F162" s="6">
        <v>2003</v>
      </c>
      <c r="G162" s="6" t="s">
        <v>1132</v>
      </c>
      <c r="H162" s="6" t="s">
        <v>1130</v>
      </c>
      <c r="I162" s="6" t="s">
        <v>1155</v>
      </c>
      <c r="J162" s="6" t="s">
        <v>1156</v>
      </c>
      <c r="K162" s="6" t="s">
        <v>1157</v>
      </c>
      <c r="L162" s="6" t="s">
        <v>1158</v>
      </c>
      <c r="M162" s="6">
        <v>90</v>
      </c>
      <c r="N162" s="6" t="s">
        <v>35</v>
      </c>
      <c r="O162" s="6" t="s">
        <v>1159</v>
      </c>
      <c r="P162" s="6" t="s">
        <v>37</v>
      </c>
      <c r="Q162" s="7">
        <v>128315</v>
      </c>
      <c r="R162" s="7">
        <v>0</v>
      </c>
      <c r="S162" s="7">
        <v>0</v>
      </c>
      <c r="T162" s="7">
        <f t="shared" si="2"/>
        <v>128315</v>
      </c>
      <c r="U162" s="6" t="s">
        <v>1136</v>
      </c>
      <c r="V162" s="6" t="s">
        <v>1160</v>
      </c>
      <c r="W162" s="7">
        <v>128315</v>
      </c>
      <c r="X162" s="7">
        <v>128315</v>
      </c>
      <c r="Y162" s="7">
        <v>128315</v>
      </c>
      <c r="Z162" s="7">
        <v>128315</v>
      </c>
      <c r="AA162" s="7">
        <v>128315</v>
      </c>
      <c r="AB162" s="6" t="s">
        <v>1138</v>
      </c>
    </row>
    <row r="163" spans="1:28">
      <c r="A163" s="2" t="s">
        <v>1161</v>
      </c>
      <c r="B163" s="3" t="s">
        <v>1130</v>
      </c>
      <c r="C163" s="4">
        <v>441853</v>
      </c>
      <c r="D163" s="5">
        <v>301</v>
      </c>
      <c r="E163" s="6" t="s">
        <v>29</v>
      </c>
      <c r="F163" s="6"/>
      <c r="G163" s="6" t="s">
        <v>1162</v>
      </c>
      <c r="H163" s="6" t="s">
        <v>1130</v>
      </c>
      <c r="I163" s="6" t="s">
        <v>1163</v>
      </c>
      <c r="J163" s="6" t="s">
        <v>1164</v>
      </c>
      <c r="K163" s="6" t="s">
        <v>1165</v>
      </c>
      <c r="L163" s="6" t="s">
        <v>1166</v>
      </c>
      <c r="M163" s="6"/>
      <c r="N163" s="6" t="s">
        <v>35</v>
      </c>
      <c r="O163" s="6" t="s">
        <v>1167</v>
      </c>
      <c r="P163" s="6"/>
      <c r="Q163" s="7"/>
      <c r="R163" s="7"/>
      <c r="S163" s="7"/>
      <c r="T163" s="7" t="str">
        <f t="shared" si="2"/>
        <v/>
      </c>
      <c r="U163" s="6"/>
      <c r="V163" s="6" t="s">
        <v>1168</v>
      </c>
      <c r="W163" s="7"/>
      <c r="X163" s="7"/>
      <c r="Y163" s="7"/>
      <c r="Z163" s="7"/>
      <c r="AA163" s="7"/>
      <c r="AB163" s="6" t="s">
        <v>1169</v>
      </c>
    </row>
    <row r="164" spans="1:28">
      <c r="A164" s="8" t="s">
        <v>1170</v>
      </c>
      <c r="B164" s="9" t="s">
        <v>1130</v>
      </c>
      <c r="C164" s="10">
        <v>552217</v>
      </c>
      <c r="D164" s="11">
        <v>266</v>
      </c>
      <c r="E164" s="6" t="s">
        <v>29</v>
      </c>
      <c r="F164" s="6">
        <v>2025</v>
      </c>
      <c r="G164" s="6" t="s">
        <v>1171</v>
      </c>
      <c r="H164" s="6" t="s">
        <v>1130</v>
      </c>
      <c r="I164" s="6" t="s">
        <v>1172</v>
      </c>
      <c r="J164" s="6" t="s">
        <v>1173</v>
      </c>
      <c r="K164" s="6" t="s">
        <v>1174</v>
      </c>
      <c r="L164" s="6" t="s">
        <v>1175</v>
      </c>
      <c r="M164" s="6">
        <v>100</v>
      </c>
      <c r="N164" s="6" t="s">
        <v>35</v>
      </c>
      <c r="O164" s="6" t="s">
        <v>36</v>
      </c>
      <c r="P164" s="6" t="s">
        <v>37</v>
      </c>
      <c r="Q164" s="7">
        <v>128315</v>
      </c>
      <c r="R164" s="7">
        <v>0</v>
      </c>
      <c r="S164" s="7">
        <v>0</v>
      </c>
      <c r="T164" s="7">
        <f t="shared" si="2"/>
        <v>128315</v>
      </c>
      <c r="U164" s="6" t="s">
        <v>1136</v>
      </c>
      <c r="V164" s="6" t="s">
        <v>1176</v>
      </c>
      <c r="W164" s="7">
        <v>128315</v>
      </c>
      <c r="X164" s="7">
        <v>128315</v>
      </c>
      <c r="Y164" s="7">
        <v>128315</v>
      </c>
      <c r="Z164" s="7">
        <v>128315</v>
      </c>
      <c r="AA164" s="7">
        <v>128315</v>
      </c>
      <c r="AB164" s="6" t="s">
        <v>1138</v>
      </c>
    </row>
    <row r="165" spans="1:28">
      <c r="A165" s="8" t="s">
        <v>1177</v>
      </c>
      <c r="B165" s="9" t="s">
        <v>1178</v>
      </c>
      <c r="C165" s="10">
        <v>207098</v>
      </c>
      <c r="D165" s="11">
        <v>403</v>
      </c>
      <c r="E165" s="6" t="s">
        <v>832</v>
      </c>
      <c r="F165" s="6">
        <v>2021</v>
      </c>
      <c r="G165" s="6" t="s">
        <v>1179</v>
      </c>
      <c r="H165" s="6" t="s">
        <v>1178</v>
      </c>
      <c r="I165" s="6" t="s">
        <v>1180</v>
      </c>
      <c r="J165" s="6" t="s">
        <v>779</v>
      </c>
      <c r="K165" s="6" t="s">
        <v>1181</v>
      </c>
      <c r="L165" s="6" t="s">
        <v>1182</v>
      </c>
      <c r="M165" s="6">
        <v>100</v>
      </c>
      <c r="N165" s="6" t="s">
        <v>35</v>
      </c>
      <c r="O165" s="6" t="s">
        <v>1183</v>
      </c>
      <c r="P165" s="6" t="s">
        <v>37</v>
      </c>
      <c r="Q165" s="7">
        <v>265800</v>
      </c>
      <c r="R165" s="7">
        <v>0</v>
      </c>
      <c r="S165" s="7">
        <v>0</v>
      </c>
      <c r="T165" s="7">
        <f t="shared" si="2"/>
        <v>265800</v>
      </c>
      <c r="U165" s="6" t="s">
        <v>1184</v>
      </c>
      <c r="V165" s="6" t="s">
        <v>1185</v>
      </c>
      <c r="W165" s="7">
        <v>265800</v>
      </c>
      <c r="X165" s="7">
        <v>265800</v>
      </c>
      <c r="Y165" s="7">
        <v>265800</v>
      </c>
      <c r="Z165" s="7">
        <v>265800</v>
      </c>
      <c r="AA165" s="7">
        <v>265800</v>
      </c>
      <c r="AB165" s="6" t="s">
        <v>1186</v>
      </c>
    </row>
    <row r="166" spans="1:28">
      <c r="A166" s="2" t="s">
        <v>1187</v>
      </c>
      <c r="B166" s="3" t="s">
        <v>1178</v>
      </c>
      <c r="C166" s="4">
        <v>349218</v>
      </c>
      <c r="D166" s="5">
        <v>337</v>
      </c>
      <c r="E166" s="6" t="s">
        <v>832</v>
      </c>
      <c r="F166" s="6">
        <v>2019</v>
      </c>
      <c r="G166" s="6" t="s">
        <v>1188</v>
      </c>
      <c r="H166" s="6" t="s">
        <v>1178</v>
      </c>
      <c r="I166" s="6" t="s">
        <v>1189</v>
      </c>
      <c r="J166" s="6" t="s">
        <v>1190</v>
      </c>
      <c r="K166" s="6"/>
      <c r="L166" s="6" t="s">
        <v>1191</v>
      </c>
      <c r="M166" s="6">
        <v>100</v>
      </c>
      <c r="N166" s="6" t="s">
        <v>35</v>
      </c>
      <c r="O166" s="6" t="s">
        <v>1183</v>
      </c>
      <c r="P166" s="6"/>
      <c r="Q166" s="7">
        <v>204600</v>
      </c>
      <c r="R166" s="7">
        <v>0</v>
      </c>
      <c r="S166" s="7">
        <v>0</v>
      </c>
      <c r="T166" s="7">
        <f t="shared" si="2"/>
        <v>204600</v>
      </c>
      <c r="U166" s="6" t="s">
        <v>1184</v>
      </c>
      <c r="V166" s="6" t="s">
        <v>1192</v>
      </c>
      <c r="W166" s="7">
        <v>204600</v>
      </c>
      <c r="X166" s="7">
        <v>204600</v>
      </c>
      <c r="Y166" s="7">
        <v>204600</v>
      </c>
      <c r="Z166" s="7">
        <v>204600</v>
      </c>
      <c r="AA166" s="7">
        <v>204600</v>
      </c>
      <c r="AB166" s="6" t="s">
        <v>1186</v>
      </c>
    </row>
    <row r="167" spans="1:28">
      <c r="A167" s="8" t="s">
        <v>1193</v>
      </c>
      <c r="B167" s="9" t="s">
        <v>1178</v>
      </c>
      <c r="C167" s="10">
        <v>501477</v>
      </c>
      <c r="D167" s="11">
        <v>281</v>
      </c>
      <c r="E167" s="6" t="s">
        <v>832</v>
      </c>
      <c r="F167" s="6">
        <v>2016</v>
      </c>
      <c r="G167" s="6" t="s">
        <v>1194</v>
      </c>
      <c r="H167" s="6" t="s">
        <v>1178</v>
      </c>
      <c r="I167" s="6" t="s">
        <v>1195</v>
      </c>
      <c r="J167" s="6" t="s">
        <v>1196</v>
      </c>
      <c r="K167" s="6" t="s">
        <v>1197</v>
      </c>
      <c r="L167" s="6" t="s">
        <v>1198</v>
      </c>
      <c r="M167" s="6">
        <v>60</v>
      </c>
      <c r="N167" s="6" t="s">
        <v>35</v>
      </c>
      <c r="O167" s="6" t="s">
        <v>1183</v>
      </c>
      <c r="P167" s="6" t="s">
        <v>37</v>
      </c>
      <c r="Q167" s="7">
        <v>204600</v>
      </c>
      <c r="R167" s="7">
        <v>0</v>
      </c>
      <c r="S167" s="7">
        <v>0</v>
      </c>
      <c r="T167" s="7">
        <f t="shared" si="2"/>
        <v>204600</v>
      </c>
      <c r="U167" s="6" t="s">
        <v>1184</v>
      </c>
      <c r="V167" s="6" t="s">
        <v>1185</v>
      </c>
      <c r="W167" s="7">
        <v>204600</v>
      </c>
      <c r="X167" s="7">
        <v>204600</v>
      </c>
      <c r="Y167" s="7">
        <v>204600</v>
      </c>
      <c r="Z167" s="7">
        <v>204600</v>
      </c>
      <c r="AA167" s="7">
        <v>204600</v>
      </c>
      <c r="AB167" s="6" t="s">
        <v>1186</v>
      </c>
    </row>
    <row r="168" spans="1:28">
      <c r="A168" s="2" t="s">
        <v>1199</v>
      </c>
      <c r="B168" s="3" t="s">
        <v>1178</v>
      </c>
      <c r="C168" s="4">
        <v>595887</v>
      </c>
      <c r="D168" s="5">
        <v>253</v>
      </c>
      <c r="E168" s="6" t="s">
        <v>832</v>
      </c>
      <c r="F168" s="6">
        <v>2016</v>
      </c>
      <c r="G168" s="6" t="s">
        <v>1200</v>
      </c>
      <c r="H168" s="6" t="s">
        <v>1178</v>
      </c>
      <c r="I168" s="6" t="s">
        <v>1201</v>
      </c>
      <c r="J168" s="6" t="s">
        <v>1202</v>
      </c>
      <c r="K168" s="6" t="s">
        <v>1203</v>
      </c>
      <c r="L168" s="6" t="s">
        <v>1204</v>
      </c>
      <c r="M168" s="6">
        <v>100</v>
      </c>
      <c r="N168" s="6" t="s">
        <v>35</v>
      </c>
      <c r="O168" s="6" t="s">
        <v>1183</v>
      </c>
      <c r="P168" s="6"/>
      <c r="Q168" s="7">
        <v>204600</v>
      </c>
      <c r="R168" s="7">
        <v>0</v>
      </c>
      <c r="S168" s="7">
        <v>0</v>
      </c>
      <c r="T168" s="7">
        <f t="shared" si="2"/>
        <v>204600</v>
      </c>
      <c r="U168" s="6" t="s">
        <v>1184</v>
      </c>
      <c r="V168" s="6" t="s">
        <v>1185</v>
      </c>
      <c r="W168" s="7">
        <v>204600</v>
      </c>
      <c r="X168" s="7">
        <v>204600</v>
      </c>
      <c r="Y168" s="7">
        <v>204600</v>
      </c>
      <c r="Z168" s="7">
        <v>204600</v>
      </c>
      <c r="AA168" s="7">
        <v>204600</v>
      </c>
      <c r="AB168" s="6" t="s">
        <v>1186</v>
      </c>
    </row>
    <row r="169" ht="26.4" customHeight="1" spans="1:28">
      <c r="A169" s="8" t="s">
        <v>1205</v>
      </c>
      <c r="B169" s="9" t="s">
        <v>1178</v>
      </c>
      <c r="C169" s="10">
        <v>615312</v>
      </c>
      <c r="D169" s="11">
        <v>247</v>
      </c>
      <c r="E169" s="6" t="s">
        <v>832</v>
      </c>
      <c r="F169" s="6">
        <v>2022</v>
      </c>
      <c r="G169" s="6" t="s">
        <v>1188</v>
      </c>
      <c r="H169" s="6" t="s">
        <v>1178</v>
      </c>
      <c r="I169" s="6" t="s">
        <v>1206</v>
      </c>
      <c r="J169" s="6" t="s">
        <v>1207</v>
      </c>
      <c r="K169" s="6" t="s">
        <v>1208</v>
      </c>
      <c r="L169" s="6" t="s">
        <v>1209</v>
      </c>
      <c r="M169" s="6">
        <v>100</v>
      </c>
      <c r="N169" s="6" t="s">
        <v>35</v>
      </c>
      <c r="O169" s="6" t="s">
        <v>1183</v>
      </c>
      <c r="P169" s="6" t="s">
        <v>37</v>
      </c>
      <c r="Q169" s="7">
        <v>204600</v>
      </c>
      <c r="R169" s="7">
        <v>0</v>
      </c>
      <c r="S169" s="7">
        <v>0</v>
      </c>
      <c r="T169" s="7">
        <f t="shared" si="2"/>
        <v>204600</v>
      </c>
      <c r="U169" s="6" t="s">
        <v>1184</v>
      </c>
      <c r="V169" s="6" t="s">
        <v>1185</v>
      </c>
      <c r="W169" s="7">
        <v>204600</v>
      </c>
      <c r="X169" s="7">
        <v>204600</v>
      </c>
      <c r="Y169" s="7">
        <v>204600</v>
      </c>
      <c r="Z169" s="7">
        <v>204600</v>
      </c>
      <c r="AA169" s="7">
        <v>204600</v>
      </c>
      <c r="AB169" s="6" t="s">
        <v>1186</v>
      </c>
    </row>
    <row r="170" ht="26.4" customHeight="1" spans="1:28">
      <c r="A170" s="2" t="s">
        <v>1210</v>
      </c>
      <c r="B170" s="3" t="s">
        <v>1178</v>
      </c>
      <c r="C170" s="4">
        <v>639348</v>
      </c>
      <c r="D170" s="5">
        <v>241</v>
      </c>
      <c r="E170" s="6" t="s">
        <v>832</v>
      </c>
      <c r="F170" s="6"/>
      <c r="G170" s="6" t="s">
        <v>1188</v>
      </c>
      <c r="H170" s="6" t="s">
        <v>1178</v>
      </c>
      <c r="I170" s="6" t="s">
        <v>1211</v>
      </c>
      <c r="J170" s="6" t="s">
        <v>1212</v>
      </c>
      <c r="K170" s="6" t="s">
        <v>1213</v>
      </c>
      <c r="L170" s="6" t="s">
        <v>1214</v>
      </c>
      <c r="M170" s="6"/>
      <c r="N170" s="6" t="s">
        <v>35</v>
      </c>
      <c r="O170" s="6" t="s">
        <v>1183</v>
      </c>
      <c r="P170" s="6" t="s">
        <v>37</v>
      </c>
      <c r="Q170" s="7">
        <v>255700</v>
      </c>
      <c r="R170" s="7">
        <v>0</v>
      </c>
      <c r="S170" s="7">
        <v>0</v>
      </c>
      <c r="T170" s="7">
        <f t="shared" si="2"/>
        <v>255700</v>
      </c>
      <c r="U170" s="6" t="s">
        <v>1184</v>
      </c>
      <c r="V170" s="6" t="s">
        <v>1215</v>
      </c>
      <c r="W170" s="7">
        <v>255700</v>
      </c>
      <c r="X170" s="7">
        <v>255700</v>
      </c>
      <c r="Y170" s="7">
        <v>255700</v>
      </c>
      <c r="Z170" s="7">
        <v>255700</v>
      </c>
      <c r="AA170" s="7">
        <v>255700</v>
      </c>
      <c r="AB170" s="6" t="s">
        <v>1186</v>
      </c>
    </row>
    <row r="171" ht="26.4" customHeight="1" spans="1:28">
      <c r="A171" s="8" t="s">
        <v>1216</v>
      </c>
      <c r="B171" s="9" t="s">
        <v>1178</v>
      </c>
      <c r="C171" s="10">
        <v>652996</v>
      </c>
      <c r="D171" s="11">
        <v>237</v>
      </c>
      <c r="E171" s="6" t="s">
        <v>832</v>
      </c>
      <c r="F171" s="6">
        <v>1994</v>
      </c>
      <c r="G171" s="6" t="s">
        <v>1217</v>
      </c>
      <c r="H171" s="6" t="s">
        <v>1178</v>
      </c>
      <c r="I171" s="6" t="s">
        <v>1218</v>
      </c>
      <c r="J171" s="6" t="s">
        <v>1219</v>
      </c>
      <c r="K171" s="6"/>
      <c r="L171" s="6" t="s">
        <v>1220</v>
      </c>
      <c r="M171" s="6">
        <v>100</v>
      </c>
      <c r="N171" s="6" t="s">
        <v>35</v>
      </c>
      <c r="O171" s="6" t="s">
        <v>1183</v>
      </c>
      <c r="P171" s="6" t="s">
        <v>37</v>
      </c>
      <c r="Q171" s="7">
        <v>245000</v>
      </c>
      <c r="R171" s="7">
        <v>0</v>
      </c>
      <c r="S171" s="7">
        <v>0</v>
      </c>
      <c r="T171" s="7">
        <f t="shared" si="2"/>
        <v>245000</v>
      </c>
      <c r="U171" s="6" t="s">
        <v>1184</v>
      </c>
      <c r="V171" s="6" t="s">
        <v>1221</v>
      </c>
      <c r="W171" s="7">
        <v>245000</v>
      </c>
      <c r="X171" s="7">
        <v>245000</v>
      </c>
      <c r="Y171" s="7">
        <v>245000</v>
      </c>
      <c r="Z171" s="7">
        <v>245000</v>
      </c>
      <c r="AA171" s="7">
        <v>245000</v>
      </c>
      <c r="AB171" s="6" t="s">
        <v>1186</v>
      </c>
    </row>
    <row r="172" spans="1:28">
      <c r="A172" s="2" t="s">
        <v>1222</v>
      </c>
      <c r="B172" s="3" t="s">
        <v>1178</v>
      </c>
      <c r="C172" s="4">
        <v>666178</v>
      </c>
      <c r="D172" s="5">
        <v>233</v>
      </c>
      <c r="E172" s="6" t="s">
        <v>832</v>
      </c>
      <c r="F172" s="6">
        <v>2011</v>
      </c>
      <c r="G172" s="6" t="s">
        <v>1223</v>
      </c>
      <c r="H172" s="6" t="s">
        <v>1178</v>
      </c>
      <c r="I172" s="6" t="s">
        <v>1224</v>
      </c>
      <c r="J172" s="6" t="s">
        <v>1225</v>
      </c>
      <c r="K172" s="6" t="s">
        <v>1226</v>
      </c>
      <c r="L172" s="6" t="s">
        <v>1227</v>
      </c>
      <c r="M172" s="6">
        <v>60</v>
      </c>
      <c r="N172" s="6" t="s">
        <v>35</v>
      </c>
      <c r="O172" s="6" t="s">
        <v>1183</v>
      </c>
      <c r="P172" s="6" t="s">
        <v>37</v>
      </c>
      <c r="Q172" s="7">
        <v>269800</v>
      </c>
      <c r="R172" s="7">
        <v>0</v>
      </c>
      <c r="S172" s="7">
        <v>0</v>
      </c>
      <c r="T172" s="7">
        <f t="shared" si="2"/>
        <v>269800</v>
      </c>
      <c r="U172" s="6" t="s">
        <v>1184</v>
      </c>
      <c r="V172" s="6" t="s">
        <v>1228</v>
      </c>
      <c r="W172" s="7">
        <v>269800</v>
      </c>
      <c r="X172" s="7">
        <v>269800</v>
      </c>
      <c r="Y172" s="7">
        <v>269800</v>
      </c>
      <c r="Z172" s="7">
        <v>269800</v>
      </c>
      <c r="AA172" s="7">
        <v>269800</v>
      </c>
      <c r="AB172" s="6" t="s">
        <v>1186</v>
      </c>
    </row>
    <row r="173" ht="26.4" customHeight="1" spans="1:28">
      <c r="A173" s="8" t="s">
        <v>1229</v>
      </c>
      <c r="B173" s="9" t="s">
        <v>1178</v>
      </c>
      <c r="C173" s="10">
        <v>673387</v>
      </c>
      <c r="D173" s="11">
        <v>231</v>
      </c>
      <c r="E173" s="6" t="s">
        <v>832</v>
      </c>
      <c r="F173" s="6">
        <v>2017</v>
      </c>
      <c r="G173" s="6" t="s">
        <v>1188</v>
      </c>
      <c r="H173" s="6" t="s">
        <v>1178</v>
      </c>
      <c r="I173" s="6" t="s">
        <v>1230</v>
      </c>
      <c r="J173" s="6" t="s">
        <v>1231</v>
      </c>
      <c r="K173" s="6" t="s">
        <v>1232</v>
      </c>
      <c r="L173" s="6" t="s">
        <v>1233</v>
      </c>
      <c r="M173" s="6">
        <v>60</v>
      </c>
      <c r="N173" s="6" t="s">
        <v>35</v>
      </c>
      <c r="O173" s="6" t="s">
        <v>1183</v>
      </c>
      <c r="P173" s="6"/>
      <c r="Q173" s="7">
        <v>204600</v>
      </c>
      <c r="R173" s="7">
        <v>0</v>
      </c>
      <c r="S173" s="7">
        <v>0</v>
      </c>
      <c r="T173" s="7">
        <f t="shared" si="2"/>
        <v>204600</v>
      </c>
      <c r="U173" s="6" t="s">
        <v>1184</v>
      </c>
      <c r="V173" s="6" t="s">
        <v>1185</v>
      </c>
      <c r="W173" s="7">
        <v>204600</v>
      </c>
      <c r="X173" s="7">
        <v>204600</v>
      </c>
      <c r="Y173" s="7">
        <v>204600</v>
      </c>
      <c r="Z173" s="7">
        <v>204600</v>
      </c>
      <c r="AA173" s="7">
        <v>204600</v>
      </c>
      <c r="AB173" s="6" t="s">
        <v>1186</v>
      </c>
    </row>
    <row r="174" spans="1:28">
      <c r="A174" s="2" t="s">
        <v>1234</v>
      </c>
      <c r="B174" s="3" t="s">
        <v>1178</v>
      </c>
      <c r="C174" s="4">
        <v>745809</v>
      </c>
      <c r="D174" s="5">
        <v>214</v>
      </c>
      <c r="E174" s="6" t="s">
        <v>832</v>
      </c>
      <c r="F174" s="6">
        <v>2015</v>
      </c>
      <c r="G174" s="6" t="s">
        <v>1235</v>
      </c>
      <c r="H174" s="6" t="s">
        <v>1178</v>
      </c>
      <c r="I174" s="6" t="s">
        <v>1236</v>
      </c>
      <c r="J174" s="6" t="s">
        <v>1237</v>
      </c>
      <c r="K174" s="6" t="s">
        <v>1238</v>
      </c>
      <c r="L174" s="6" t="s">
        <v>1239</v>
      </c>
      <c r="M174" s="6">
        <v>100</v>
      </c>
      <c r="N174" s="6" t="s">
        <v>35</v>
      </c>
      <c r="O174" s="6" t="s">
        <v>1183</v>
      </c>
      <c r="P174" s="6"/>
      <c r="Q174" s="7">
        <v>236500</v>
      </c>
      <c r="R174" s="7">
        <v>0</v>
      </c>
      <c r="S174" s="7">
        <v>0</v>
      </c>
      <c r="T174" s="7">
        <f t="shared" si="2"/>
        <v>236500</v>
      </c>
      <c r="U174" s="6" t="s">
        <v>1184</v>
      </c>
      <c r="V174" s="6" t="s">
        <v>1185</v>
      </c>
      <c r="W174" s="7">
        <v>236500</v>
      </c>
      <c r="X174" s="7">
        <v>236500</v>
      </c>
      <c r="Y174" s="7">
        <v>236500</v>
      </c>
      <c r="Z174" s="7">
        <v>236500</v>
      </c>
      <c r="AA174" s="7">
        <v>236500</v>
      </c>
      <c r="AB174" s="6" t="s">
        <v>1186</v>
      </c>
    </row>
    <row r="175" spans="1:28">
      <c r="A175" s="8" t="s">
        <v>1240</v>
      </c>
      <c r="B175" s="9" t="s">
        <v>1178</v>
      </c>
      <c r="C175" s="10">
        <v>759557</v>
      </c>
      <c r="D175" s="11">
        <v>210</v>
      </c>
      <c r="E175" s="6" t="s">
        <v>832</v>
      </c>
      <c r="F175" s="6">
        <v>2014</v>
      </c>
      <c r="G175" s="6" t="s">
        <v>1241</v>
      </c>
      <c r="H175" s="6" t="s">
        <v>1178</v>
      </c>
      <c r="I175" s="6" t="s">
        <v>1242</v>
      </c>
      <c r="J175" s="6"/>
      <c r="K175" s="6"/>
      <c r="L175" s="6" t="s">
        <v>1243</v>
      </c>
      <c r="M175" s="6">
        <v>100</v>
      </c>
      <c r="N175" s="6" t="s">
        <v>35</v>
      </c>
      <c r="O175" s="6" t="s">
        <v>1183</v>
      </c>
      <c r="P175" s="6" t="s">
        <v>37</v>
      </c>
      <c r="Q175" s="7">
        <v>259700</v>
      </c>
      <c r="R175" s="7">
        <v>0</v>
      </c>
      <c r="S175" s="7">
        <v>0</v>
      </c>
      <c r="T175" s="7">
        <f t="shared" si="2"/>
        <v>259700</v>
      </c>
      <c r="U175" s="6" t="s">
        <v>1184</v>
      </c>
      <c r="V175" s="6" t="s">
        <v>1244</v>
      </c>
      <c r="W175" s="7">
        <v>259700</v>
      </c>
      <c r="X175" s="7">
        <v>259700</v>
      </c>
      <c r="Y175" s="7">
        <v>259700</v>
      </c>
      <c r="Z175" s="7">
        <v>259700</v>
      </c>
      <c r="AA175" s="7">
        <v>259700</v>
      </c>
      <c r="AB175" s="6" t="s">
        <v>1186</v>
      </c>
    </row>
    <row r="176" spans="1:28">
      <c r="A176" s="2" t="s">
        <v>1245</v>
      </c>
      <c r="B176" s="3" t="s">
        <v>1178</v>
      </c>
      <c r="C176" s="4">
        <v>746891</v>
      </c>
      <c r="D176" s="5">
        <v>213</v>
      </c>
      <c r="E176" s="6" t="s">
        <v>832</v>
      </c>
      <c r="F176" s="6">
        <v>2016</v>
      </c>
      <c r="G176" s="6" t="s">
        <v>1246</v>
      </c>
      <c r="H176" s="6" t="s">
        <v>1178</v>
      </c>
      <c r="I176" s="6" t="s">
        <v>1247</v>
      </c>
      <c r="J176" s="6" t="s">
        <v>1248</v>
      </c>
      <c r="K176" s="6" t="s">
        <v>1249</v>
      </c>
      <c r="L176" s="6" t="s">
        <v>1250</v>
      </c>
      <c r="M176" s="6">
        <v>60</v>
      </c>
      <c r="N176" s="6" t="s">
        <v>35</v>
      </c>
      <c r="O176" s="6" t="s">
        <v>1183</v>
      </c>
      <c r="P176" s="6"/>
      <c r="Q176" s="7">
        <v>204600</v>
      </c>
      <c r="R176" s="7">
        <v>0</v>
      </c>
      <c r="S176" s="7">
        <v>0</v>
      </c>
      <c r="T176" s="7">
        <f t="shared" si="2"/>
        <v>204600</v>
      </c>
      <c r="U176" s="6" t="s">
        <v>1184</v>
      </c>
      <c r="V176" s="6" t="s">
        <v>1251</v>
      </c>
      <c r="W176" s="7">
        <v>204600</v>
      </c>
      <c r="X176" s="7">
        <v>204600</v>
      </c>
      <c r="Y176" s="7">
        <v>204600</v>
      </c>
      <c r="Z176" s="7">
        <v>204600</v>
      </c>
      <c r="AA176" s="7">
        <v>204600</v>
      </c>
      <c r="AB176" s="6" t="s">
        <v>1186</v>
      </c>
    </row>
    <row r="177" ht="26.4" customHeight="1" spans="1:28">
      <c r="A177" s="8" t="s">
        <v>1252</v>
      </c>
      <c r="B177" s="9" t="s">
        <v>1178</v>
      </c>
      <c r="C177" s="10">
        <v>787935</v>
      </c>
      <c r="D177" s="11">
        <v>204</v>
      </c>
      <c r="E177" s="6" t="s">
        <v>832</v>
      </c>
      <c r="F177" s="6">
        <v>1997</v>
      </c>
      <c r="G177" s="6" t="s">
        <v>1253</v>
      </c>
      <c r="H177" s="6" t="s">
        <v>1178</v>
      </c>
      <c r="I177" s="6" t="s">
        <v>1254</v>
      </c>
      <c r="J177" s="6" t="s">
        <v>1255</v>
      </c>
      <c r="K177" s="6" t="s">
        <v>1256</v>
      </c>
      <c r="L177" s="6" t="s">
        <v>1257</v>
      </c>
      <c r="M177" s="6">
        <v>100</v>
      </c>
      <c r="N177" s="6" t="s">
        <v>35</v>
      </c>
      <c r="O177" s="6" t="s">
        <v>1183</v>
      </c>
      <c r="P177" s="6" t="s">
        <v>37</v>
      </c>
      <c r="Q177" s="7">
        <v>260600</v>
      </c>
      <c r="R177" s="7">
        <v>0</v>
      </c>
      <c r="S177" s="7">
        <v>0</v>
      </c>
      <c r="T177" s="7">
        <f t="shared" si="2"/>
        <v>260600</v>
      </c>
      <c r="U177" s="6" t="s">
        <v>1184</v>
      </c>
      <c r="V177" s="6" t="s">
        <v>1185</v>
      </c>
      <c r="W177" s="7">
        <v>260600</v>
      </c>
      <c r="X177" s="7">
        <v>260600</v>
      </c>
      <c r="Y177" s="7">
        <v>260600</v>
      </c>
      <c r="Z177" s="7">
        <v>260600</v>
      </c>
      <c r="AA177" s="7">
        <v>260600</v>
      </c>
      <c r="AB177" s="6" t="s">
        <v>1186</v>
      </c>
    </row>
    <row r="178" spans="1:28">
      <c r="A178" s="2" t="s">
        <v>1258</v>
      </c>
      <c r="B178" s="3" t="s">
        <v>1178</v>
      </c>
      <c r="C178" s="4">
        <v>854636</v>
      </c>
      <c r="D178" s="5">
        <v>189</v>
      </c>
      <c r="E178" s="6" t="s">
        <v>832</v>
      </c>
      <c r="F178" s="6">
        <v>2016</v>
      </c>
      <c r="G178" s="6" t="s">
        <v>1259</v>
      </c>
      <c r="H178" s="6" t="s">
        <v>1178</v>
      </c>
      <c r="I178" s="6" t="s">
        <v>1260</v>
      </c>
      <c r="J178" s="6" t="s">
        <v>1261</v>
      </c>
      <c r="K178" s="6" t="s">
        <v>1262</v>
      </c>
      <c r="L178" s="6" t="s">
        <v>1263</v>
      </c>
      <c r="M178" s="6">
        <v>60</v>
      </c>
      <c r="N178" s="6" t="s">
        <v>35</v>
      </c>
      <c r="O178" s="6" t="s">
        <v>1183</v>
      </c>
      <c r="P178" s="6"/>
      <c r="Q178" s="7">
        <v>254200</v>
      </c>
      <c r="R178" s="7">
        <v>0</v>
      </c>
      <c r="S178" s="7">
        <v>0</v>
      </c>
      <c r="T178" s="7">
        <f t="shared" si="2"/>
        <v>254200</v>
      </c>
      <c r="U178" s="6" t="s">
        <v>1184</v>
      </c>
      <c r="V178" s="6" t="s">
        <v>1185</v>
      </c>
      <c r="W178" s="7">
        <v>254200</v>
      </c>
      <c r="X178" s="7">
        <v>254200</v>
      </c>
      <c r="Y178" s="7">
        <v>254200</v>
      </c>
      <c r="Z178" s="7">
        <v>254200</v>
      </c>
      <c r="AA178" s="7">
        <v>254200</v>
      </c>
      <c r="AB178" s="6" t="s">
        <v>1186</v>
      </c>
    </row>
    <row r="179" spans="1:28">
      <c r="A179" s="8" t="s">
        <v>1264</v>
      </c>
      <c r="B179" s="9" t="s">
        <v>1178</v>
      </c>
      <c r="C179" s="10">
        <v>900159</v>
      </c>
      <c r="D179" s="11">
        <v>180</v>
      </c>
      <c r="E179" s="6" t="s">
        <v>29</v>
      </c>
      <c r="F179" s="6">
        <v>2004</v>
      </c>
      <c r="G179" s="6" t="s">
        <v>1265</v>
      </c>
      <c r="H179" s="6" t="s">
        <v>1178</v>
      </c>
      <c r="I179" s="6" t="s">
        <v>1266</v>
      </c>
      <c r="J179" s="6" t="s">
        <v>1267</v>
      </c>
      <c r="K179" s="6" t="s">
        <v>1268</v>
      </c>
      <c r="L179" s="6" t="s">
        <v>1269</v>
      </c>
      <c r="M179" s="6">
        <v>60</v>
      </c>
      <c r="N179" s="6" t="s">
        <v>35</v>
      </c>
      <c r="O179" s="6" t="s">
        <v>1270</v>
      </c>
      <c r="P179" s="6" t="s">
        <v>37</v>
      </c>
      <c r="Q179" s="7">
        <v>238900</v>
      </c>
      <c r="R179" s="7">
        <v>0</v>
      </c>
      <c r="S179" s="7">
        <v>0</v>
      </c>
      <c r="T179" s="7">
        <f t="shared" si="2"/>
        <v>238900</v>
      </c>
      <c r="U179" s="6" t="s">
        <v>1271</v>
      </c>
      <c r="V179" s="6" t="s">
        <v>1272</v>
      </c>
      <c r="W179" s="7">
        <v>238900</v>
      </c>
      <c r="X179" s="7">
        <v>238900</v>
      </c>
      <c r="Y179" s="7">
        <v>238900</v>
      </c>
      <c r="Z179" s="7">
        <v>238900</v>
      </c>
      <c r="AA179" s="7">
        <v>238900</v>
      </c>
      <c r="AB179" s="6" t="s">
        <v>1273</v>
      </c>
    </row>
    <row r="180" spans="1:28">
      <c r="A180" s="2" t="s">
        <v>1274</v>
      </c>
      <c r="B180" s="3" t="s">
        <v>1178</v>
      </c>
      <c r="C180" s="4">
        <v>856479</v>
      </c>
      <c r="D180" s="5">
        <v>189</v>
      </c>
      <c r="E180" s="6" t="s">
        <v>29</v>
      </c>
      <c r="F180" s="6">
        <v>2016</v>
      </c>
      <c r="G180" s="6" t="s">
        <v>1246</v>
      </c>
      <c r="H180" s="6" t="s">
        <v>1178</v>
      </c>
      <c r="I180" s="6" t="s">
        <v>1275</v>
      </c>
      <c r="J180" s="6" t="s">
        <v>1276</v>
      </c>
      <c r="K180" s="6" t="s">
        <v>1277</v>
      </c>
      <c r="L180" s="6" t="s">
        <v>1278</v>
      </c>
      <c r="M180" s="6">
        <v>60</v>
      </c>
      <c r="N180" s="6" t="s">
        <v>35</v>
      </c>
      <c r="O180" s="6" t="s">
        <v>1279</v>
      </c>
      <c r="P180" s="6" t="s">
        <v>37</v>
      </c>
      <c r="Q180" s="7">
        <v>239200</v>
      </c>
      <c r="R180" s="7">
        <v>0</v>
      </c>
      <c r="S180" s="7">
        <v>0</v>
      </c>
      <c r="T180" s="7">
        <f t="shared" si="2"/>
        <v>239200</v>
      </c>
      <c r="U180" s="6" t="s">
        <v>1271</v>
      </c>
      <c r="V180" s="6" t="s">
        <v>1280</v>
      </c>
      <c r="W180" s="7">
        <v>239200</v>
      </c>
      <c r="X180" s="7">
        <v>239200</v>
      </c>
      <c r="Y180" s="7">
        <v>239200</v>
      </c>
      <c r="Z180" s="7">
        <v>239200</v>
      </c>
      <c r="AA180" s="7">
        <v>239200</v>
      </c>
      <c r="AB180" s="6" t="s">
        <v>1273</v>
      </c>
    </row>
    <row r="181" spans="1:28">
      <c r="A181" s="8" t="s">
        <v>1281</v>
      </c>
      <c r="B181" s="9" t="s">
        <v>1178</v>
      </c>
      <c r="C181" s="10">
        <v>877261</v>
      </c>
      <c r="D181" s="11">
        <v>185</v>
      </c>
      <c r="E181" s="6" t="s">
        <v>29</v>
      </c>
      <c r="F181" s="6">
        <v>2017</v>
      </c>
      <c r="G181" s="6" t="s">
        <v>1188</v>
      </c>
      <c r="H181" s="6" t="s">
        <v>1178</v>
      </c>
      <c r="I181" s="6" t="s">
        <v>1282</v>
      </c>
      <c r="J181" s="6" t="s">
        <v>1283</v>
      </c>
      <c r="K181" s="6" t="s">
        <v>1284</v>
      </c>
      <c r="L181" s="6" t="s">
        <v>1285</v>
      </c>
      <c r="M181" s="6">
        <v>100</v>
      </c>
      <c r="N181" s="6" t="s">
        <v>35</v>
      </c>
      <c r="O181" s="6" t="s">
        <v>1286</v>
      </c>
      <c r="P181" s="6" t="s">
        <v>37</v>
      </c>
      <c r="Q181" s="7">
        <v>253900</v>
      </c>
      <c r="R181" s="7">
        <v>0</v>
      </c>
      <c r="S181" s="7">
        <v>0</v>
      </c>
      <c r="T181" s="7">
        <f t="shared" si="2"/>
        <v>253900</v>
      </c>
      <c r="U181" s="6" t="s">
        <v>1271</v>
      </c>
      <c r="V181" s="6" t="s">
        <v>1287</v>
      </c>
      <c r="W181" s="7">
        <v>253900</v>
      </c>
      <c r="X181" s="7">
        <v>253900</v>
      </c>
      <c r="Y181" s="7">
        <v>253900</v>
      </c>
      <c r="Z181" s="7">
        <v>253900</v>
      </c>
      <c r="AA181" s="7">
        <v>253900</v>
      </c>
      <c r="AB181" s="6" t="s">
        <v>1273</v>
      </c>
    </row>
    <row r="182" spans="1:28">
      <c r="A182" s="2" t="s">
        <v>1288</v>
      </c>
      <c r="B182" s="3" t="s">
        <v>1178</v>
      </c>
      <c r="C182" s="4">
        <v>942949</v>
      </c>
      <c r="D182" s="5">
        <v>172</v>
      </c>
      <c r="E182" s="6" t="s">
        <v>29</v>
      </c>
      <c r="F182" s="6">
        <v>1996</v>
      </c>
      <c r="G182" s="6" t="s">
        <v>1289</v>
      </c>
      <c r="H182" s="6" t="s">
        <v>1178</v>
      </c>
      <c r="I182" s="6" t="s">
        <v>1290</v>
      </c>
      <c r="J182" s="6" t="s">
        <v>1291</v>
      </c>
      <c r="K182" s="6" t="s">
        <v>1292</v>
      </c>
      <c r="L182" s="6" t="s">
        <v>1293</v>
      </c>
      <c r="M182" s="6">
        <v>100</v>
      </c>
      <c r="N182" s="6" t="s">
        <v>35</v>
      </c>
      <c r="O182" s="6" t="s">
        <v>1294</v>
      </c>
      <c r="P182" s="6" t="s">
        <v>37</v>
      </c>
      <c r="Q182" s="7">
        <v>248000</v>
      </c>
      <c r="R182" s="7">
        <v>0</v>
      </c>
      <c r="S182" s="7">
        <v>0</v>
      </c>
      <c r="T182" s="7">
        <f t="shared" si="2"/>
        <v>248000</v>
      </c>
      <c r="U182" s="6" t="s">
        <v>1271</v>
      </c>
      <c r="V182" s="6" t="s">
        <v>1295</v>
      </c>
      <c r="W182" s="7">
        <v>248000</v>
      </c>
      <c r="X182" s="7">
        <v>248000</v>
      </c>
      <c r="Y182" s="7">
        <v>248000</v>
      </c>
      <c r="Z182" s="7">
        <v>248000</v>
      </c>
      <c r="AA182" s="7">
        <v>248000</v>
      </c>
      <c r="AB182" s="6" t="s">
        <v>1273</v>
      </c>
    </row>
    <row r="183" spans="1:28">
      <c r="A183" s="8" t="s">
        <v>1296</v>
      </c>
      <c r="B183" s="9" t="s">
        <v>1178</v>
      </c>
      <c r="C183" s="10">
        <v>893031</v>
      </c>
      <c r="D183" s="11">
        <v>181</v>
      </c>
      <c r="E183" s="6" t="s">
        <v>29</v>
      </c>
      <c r="F183" s="6">
        <v>2006</v>
      </c>
      <c r="G183" s="6" t="s">
        <v>1297</v>
      </c>
      <c r="H183" s="6" t="s">
        <v>1178</v>
      </c>
      <c r="I183" s="6" t="s">
        <v>1298</v>
      </c>
      <c r="J183" s="6" t="s">
        <v>1299</v>
      </c>
      <c r="K183" s="6" t="s">
        <v>1300</v>
      </c>
      <c r="L183" s="6" t="s">
        <v>1301</v>
      </c>
      <c r="M183" s="6">
        <v>100</v>
      </c>
      <c r="N183" s="6" t="s">
        <v>35</v>
      </c>
      <c r="O183" s="6" t="s">
        <v>1302</v>
      </c>
      <c r="P183" s="6" t="s">
        <v>37</v>
      </c>
      <c r="Q183" s="7">
        <v>259700</v>
      </c>
      <c r="R183" s="7">
        <v>0</v>
      </c>
      <c r="S183" s="7">
        <v>0</v>
      </c>
      <c r="T183" s="7">
        <f t="shared" si="2"/>
        <v>259700</v>
      </c>
      <c r="U183" s="6" t="s">
        <v>1271</v>
      </c>
      <c r="V183" s="6" t="s">
        <v>1303</v>
      </c>
      <c r="W183" s="7">
        <v>259700</v>
      </c>
      <c r="X183" s="7">
        <v>259700</v>
      </c>
      <c r="Y183" s="7">
        <v>259700</v>
      </c>
      <c r="Z183" s="7">
        <v>259700</v>
      </c>
      <c r="AA183" s="7">
        <v>259700</v>
      </c>
      <c r="AB183" s="6" t="s">
        <v>1273</v>
      </c>
    </row>
    <row r="184" spans="1:28">
      <c r="A184" s="2" t="s">
        <v>1304</v>
      </c>
      <c r="B184" s="3" t="s">
        <v>1178</v>
      </c>
      <c r="C184" s="4">
        <v>878631</v>
      </c>
      <c r="D184" s="5">
        <v>184</v>
      </c>
      <c r="E184" s="6" t="s">
        <v>29</v>
      </c>
      <c r="F184" s="6">
        <v>2015</v>
      </c>
      <c r="G184" s="6" t="s">
        <v>1194</v>
      </c>
      <c r="H184" s="6" t="s">
        <v>1178</v>
      </c>
      <c r="I184" s="6" t="s">
        <v>1305</v>
      </c>
      <c r="J184" s="6" t="s">
        <v>1306</v>
      </c>
      <c r="K184" s="6" t="s">
        <v>1307</v>
      </c>
      <c r="L184" s="6" t="s">
        <v>1308</v>
      </c>
      <c r="M184" s="6">
        <v>100</v>
      </c>
      <c r="N184" s="6" t="s">
        <v>35</v>
      </c>
      <c r="O184" s="6" t="s">
        <v>1309</v>
      </c>
      <c r="P184" s="6"/>
      <c r="Q184" s="7">
        <v>270600</v>
      </c>
      <c r="R184" s="7">
        <v>0</v>
      </c>
      <c r="S184" s="7">
        <v>0</v>
      </c>
      <c r="T184" s="7">
        <f t="shared" si="2"/>
        <v>270600</v>
      </c>
      <c r="U184" s="6" t="s">
        <v>1271</v>
      </c>
      <c r="V184" s="6" t="s">
        <v>1303</v>
      </c>
      <c r="W184" s="7">
        <v>270600</v>
      </c>
      <c r="X184" s="7">
        <v>270600</v>
      </c>
      <c r="Y184" s="7">
        <v>270600</v>
      </c>
      <c r="Z184" s="7">
        <v>270600</v>
      </c>
      <c r="AA184" s="7">
        <v>270600</v>
      </c>
      <c r="AB184" s="6" t="s">
        <v>1273</v>
      </c>
    </row>
    <row r="185" ht="26.4" customHeight="1" spans="1:28">
      <c r="A185" s="8" t="s">
        <v>1310</v>
      </c>
      <c r="B185" s="9" t="s">
        <v>1178</v>
      </c>
      <c r="C185" s="10">
        <v>884397</v>
      </c>
      <c r="D185" s="11">
        <v>183</v>
      </c>
      <c r="E185" s="6" t="s">
        <v>29</v>
      </c>
      <c r="F185" s="6">
        <v>2023</v>
      </c>
      <c r="G185" s="6" t="s">
        <v>1311</v>
      </c>
      <c r="H185" s="6" t="s">
        <v>1178</v>
      </c>
      <c r="I185" s="6" t="s">
        <v>1312</v>
      </c>
      <c r="J185" s="6" t="s">
        <v>1313</v>
      </c>
      <c r="K185" s="6" t="s">
        <v>1314</v>
      </c>
      <c r="L185" s="6" t="s">
        <v>1315</v>
      </c>
      <c r="M185" s="6">
        <v>60</v>
      </c>
      <c r="N185" s="6" t="s">
        <v>35</v>
      </c>
      <c r="O185" s="6" t="s">
        <v>1316</v>
      </c>
      <c r="P185" s="6" t="s">
        <v>37</v>
      </c>
      <c r="Q185" s="7"/>
      <c r="R185" s="7"/>
      <c r="S185" s="7"/>
      <c r="T185" s="7" t="str">
        <f t="shared" si="2"/>
        <v/>
      </c>
      <c r="U185" s="6"/>
      <c r="V185" s="6" t="s">
        <v>1317</v>
      </c>
      <c r="W185" s="7"/>
      <c r="X185" s="7"/>
      <c r="Y185" s="7"/>
      <c r="Z185" s="7"/>
      <c r="AA185" s="7"/>
      <c r="AB185" s="6"/>
    </row>
    <row r="186" spans="1:28">
      <c r="A186" s="2" t="s">
        <v>1318</v>
      </c>
      <c r="B186" s="3" t="s">
        <v>1178</v>
      </c>
      <c r="C186" s="4">
        <v>914322</v>
      </c>
      <c r="D186" s="5">
        <v>177</v>
      </c>
      <c r="E186" s="6" t="s">
        <v>29</v>
      </c>
      <c r="F186" s="6">
        <v>2016</v>
      </c>
      <c r="G186" s="6" t="s">
        <v>1188</v>
      </c>
      <c r="H186" s="6" t="s">
        <v>1178</v>
      </c>
      <c r="I186" s="6" t="s">
        <v>1319</v>
      </c>
      <c r="J186" s="6" t="s">
        <v>1320</v>
      </c>
      <c r="K186" s="6" t="s">
        <v>1321</v>
      </c>
      <c r="L186" s="6" t="s">
        <v>1322</v>
      </c>
      <c r="M186" s="6">
        <v>60</v>
      </c>
      <c r="N186" s="6" t="s">
        <v>35</v>
      </c>
      <c r="O186" s="6" t="s">
        <v>1323</v>
      </c>
      <c r="P186" s="6" t="s">
        <v>37</v>
      </c>
      <c r="Q186" s="7">
        <v>258700</v>
      </c>
      <c r="R186" s="7">
        <v>0</v>
      </c>
      <c r="S186" s="7">
        <v>0</v>
      </c>
      <c r="T186" s="7">
        <f t="shared" si="2"/>
        <v>258700</v>
      </c>
      <c r="U186" s="6" t="s">
        <v>1271</v>
      </c>
      <c r="V186" s="6" t="s">
        <v>1303</v>
      </c>
      <c r="W186" s="7">
        <v>258700</v>
      </c>
      <c r="X186" s="7">
        <v>258700</v>
      </c>
      <c r="Y186" s="7">
        <v>258700</v>
      </c>
      <c r="Z186" s="7">
        <v>258700</v>
      </c>
      <c r="AA186" s="7">
        <v>258700</v>
      </c>
      <c r="AB186" s="6" t="s">
        <v>1273</v>
      </c>
    </row>
    <row r="187" spans="1:28">
      <c r="A187" s="8" t="s">
        <v>1324</v>
      </c>
      <c r="B187" s="9" t="s">
        <v>1178</v>
      </c>
      <c r="C187" s="10">
        <v>946214</v>
      </c>
      <c r="D187" s="11">
        <v>171</v>
      </c>
      <c r="E187" s="6" t="s">
        <v>29</v>
      </c>
      <c r="F187" s="6">
        <v>2010</v>
      </c>
      <c r="G187" s="6" t="s">
        <v>1188</v>
      </c>
      <c r="H187" s="6" t="s">
        <v>1178</v>
      </c>
      <c r="I187" s="6" t="s">
        <v>1325</v>
      </c>
      <c r="J187" s="6" t="s">
        <v>1326</v>
      </c>
      <c r="K187" s="6" t="s">
        <v>1327</v>
      </c>
      <c r="L187" s="6" t="s">
        <v>1328</v>
      </c>
      <c r="M187" s="6">
        <v>100</v>
      </c>
      <c r="N187" s="6" t="s">
        <v>35</v>
      </c>
      <c r="O187" s="6" t="s">
        <v>1329</v>
      </c>
      <c r="P187" s="6" t="s">
        <v>37</v>
      </c>
      <c r="Q187" s="7">
        <v>251200</v>
      </c>
      <c r="R187" s="7">
        <v>0</v>
      </c>
      <c r="S187" s="7">
        <v>0</v>
      </c>
      <c r="T187" s="7">
        <f t="shared" si="2"/>
        <v>251200</v>
      </c>
      <c r="U187" s="6" t="s">
        <v>1271</v>
      </c>
      <c r="V187" s="6" t="s">
        <v>1303</v>
      </c>
      <c r="W187" s="7">
        <v>251200</v>
      </c>
      <c r="X187" s="7">
        <v>251200</v>
      </c>
      <c r="Y187" s="7">
        <v>251200</v>
      </c>
      <c r="Z187" s="7">
        <v>251200</v>
      </c>
      <c r="AA187" s="7">
        <v>251200</v>
      </c>
      <c r="AB187" s="6" t="s">
        <v>1273</v>
      </c>
    </row>
    <row r="188" spans="1:28">
      <c r="A188" s="2" t="s">
        <v>1330</v>
      </c>
      <c r="B188" s="3" t="s">
        <v>1178</v>
      </c>
      <c r="C188" s="4">
        <v>954439</v>
      </c>
      <c r="D188" s="5">
        <v>170</v>
      </c>
      <c r="E188" s="6" t="s">
        <v>29</v>
      </c>
      <c r="F188" s="6">
        <v>2016</v>
      </c>
      <c r="G188" s="6" t="s">
        <v>1331</v>
      </c>
      <c r="H188" s="6" t="s">
        <v>1178</v>
      </c>
      <c r="I188" s="6" t="s">
        <v>1332</v>
      </c>
      <c r="J188" s="6" t="s">
        <v>1333</v>
      </c>
      <c r="K188" s="6" t="s">
        <v>1334</v>
      </c>
      <c r="L188" s="6" t="s">
        <v>1335</v>
      </c>
      <c r="M188" s="6">
        <v>100</v>
      </c>
      <c r="N188" s="6" t="s">
        <v>35</v>
      </c>
      <c r="O188" s="6" t="s">
        <v>1336</v>
      </c>
      <c r="P188" s="6" t="s">
        <v>37</v>
      </c>
      <c r="Q188" s="7">
        <v>250000</v>
      </c>
      <c r="R188" s="7">
        <v>0</v>
      </c>
      <c r="S188" s="7">
        <v>0</v>
      </c>
      <c r="T188" s="7">
        <f t="shared" si="2"/>
        <v>250000</v>
      </c>
      <c r="U188" s="6" t="s">
        <v>1271</v>
      </c>
      <c r="V188" s="6" t="s">
        <v>1303</v>
      </c>
      <c r="W188" s="7">
        <v>250000</v>
      </c>
      <c r="X188" s="7">
        <v>250000</v>
      </c>
      <c r="Y188" s="7">
        <v>250000</v>
      </c>
      <c r="Z188" s="7">
        <v>250000</v>
      </c>
      <c r="AA188" s="7">
        <v>250000</v>
      </c>
      <c r="AB188" s="6" t="s">
        <v>1273</v>
      </c>
    </row>
    <row r="189" ht="26.4" customHeight="1" spans="1:28">
      <c r="A189" s="8" t="s">
        <v>1337</v>
      </c>
      <c r="B189" s="9" t="s">
        <v>1178</v>
      </c>
      <c r="C189" s="10">
        <v>948945</v>
      </c>
      <c r="D189" s="11">
        <v>171</v>
      </c>
      <c r="E189" s="6" t="s">
        <v>29</v>
      </c>
      <c r="F189" s="6">
        <v>2020</v>
      </c>
      <c r="G189" s="6" t="s">
        <v>1194</v>
      </c>
      <c r="H189" s="6" t="s">
        <v>1178</v>
      </c>
      <c r="I189" s="6" t="s">
        <v>1338</v>
      </c>
      <c r="J189" s="6" t="s">
        <v>1339</v>
      </c>
      <c r="K189" s="6" t="s">
        <v>1340</v>
      </c>
      <c r="L189" s="6" t="s">
        <v>1341</v>
      </c>
      <c r="M189" s="6">
        <v>60</v>
      </c>
      <c r="N189" s="6" t="s">
        <v>35</v>
      </c>
      <c r="O189" s="6" t="s">
        <v>1342</v>
      </c>
      <c r="P189" s="6" t="s">
        <v>37</v>
      </c>
      <c r="Q189" s="7">
        <v>204600</v>
      </c>
      <c r="R189" s="7">
        <v>0</v>
      </c>
      <c r="S189" s="7">
        <v>0</v>
      </c>
      <c r="T189" s="7">
        <f t="shared" si="2"/>
        <v>204600</v>
      </c>
      <c r="U189" s="6" t="s">
        <v>1271</v>
      </c>
      <c r="V189" s="6" t="s">
        <v>1303</v>
      </c>
      <c r="W189" s="7">
        <v>204600</v>
      </c>
      <c r="X189" s="7">
        <v>204600</v>
      </c>
      <c r="Y189" s="7">
        <v>204600</v>
      </c>
      <c r="Z189" s="7">
        <v>204600</v>
      </c>
      <c r="AA189" s="7">
        <v>204600</v>
      </c>
      <c r="AB189" s="6" t="s">
        <v>1273</v>
      </c>
    </row>
    <row r="190" spans="1:28">
      <c r="A190" s="2" t="s">
        <v>1343</v>
      </c>
      <c r="B190" s="3" t="s">
        <v>1178</v>
      </c>
      <c r="C190" s="4">
        <v>988076</v>
      </c>
      <c r="D190" s="5">
        <v>163</v>
      </c>
      <c r="E190" s="6" t="s">
        <v>29</v>
      </c>
      <c r="F190" s="6">
        <v>2016</v>
      </c>
      <c r="G190" s="6" t="s">
        <v>1194</v>
      </c>
      <c r="H190" s="6" t="s">
        <v>1178</v>
      </c>
      <c r="I190" s="6" t="s">
        <v>1344</v>
      </c>
      <c r="J190" s="6" t="s">
        <v>1345</v>
      </c>
      <c r="K190" s="6" t="s">
        <v>1346</v>
      </c>
      <c r="L190" s="6" t="s">
        <v>1347</v>
      </c>
      <c r="M190" s="6">
        <v>60</v>
      </c>
      <c r="N190" s="6" t="s">
        <v>35</v>
      </c>
      <c r="O190" s="6" t="s">
        <v>1348</v>
      </c>
      <c r="P190" s="6" t="s">
        <v>37</v>
      </c>
      <c r="Q190" s="7">
        <v>252200</v>
      </c>
      <c r="R190" s="7">
        <v>0</v>
      </c>
      <c r="S190" s="7">
        <v>0</v>
      </c>
      <c r="T190" s="7">
        <f t="shared" si="2"/>
        <v>252200</v>
      </c>
      <c r="U190" s="6" t="s">
        <v>150</v>
      </c>
      <c r="V190" s="6" t="s">
        <v>1349</v>
      </c>
      <c r="W190" s="7">
        <v>252200</v>
      </c>
      <c r="X190" s="7">
        <v>252200</v>
      </c>
      <c r="Y190" s="7">
        <v>252200</v>
      </c>
      <c r="Z190" s="7">
        <v>252200</v>
      </c>
      <c r="AA190" s="7">
        <v>252200</v>
      </c>
      <c r="AB190" s="6" t="s">
        <v>1350</v>
      </c>
    </row>
    <row r="191" spans="1:28">
      <c r="A191" s="8" t="s">
        <v>1351</v>
      </c>
      <c r="B191" s="9" t="s">
        <v>1178</v>
      </c>
      <c r="C191" s="10">
        <v>1000035</v>
      </c>
      <c r="D191" s="11">
        <v>161</v>
      </c>
      <c r="E191" s="6" t="s">
        <v>29</v>
      </c>
      <c r="F191" s="6">
        <v>2015</v>
      </c>
      <c r="G191" s="6" t="s">
        <v>1246</v>
      </c>
      <c r="H191" s="6" t="s">
        <v>1178</v>
      </c>
      <c r="I191" s="6" t="s">
        <v>1352</v>
      </c>
      <c r="J191" s="6" t="s">
        <v>1353</v>
      </c>
      <c r="K191" s="6" t="s">
        <v>1354</v>
      </c>
      <c r="L191" s="6" t="s">
        <v>1355</v>
      </c>
      <c r="M191" s="6">
        <v>60</v>
      </c>
      <c r="N191" s="6" t="s">
        <v>35</v>
      </c>
      <c r="O191" s="6" t="s">
        <v>1356</v>
      </c>
      <c r="P191" s="6" t="s">
        <v>37</v>
      </c>
      <c r="Q191" s="7">
        <v>204600</v>
      </c>
      <c r="R191" s="7">
        <v>0</v>
      </c>
      <c r="S191" s="7">
        <v>0</v>
      </c>
      <c r="T191" s="7">
        <f t="shared" si="2"/>
        <v>204600</v>
      </c>
      <c r="U191" s="6" t="s">
        <v>1271</v>
      </c>
      <c r="V191" s="6" t="s">
        <v>1303</v>
      </c>
      <c r="W191" s="7">
        <v>204600</v>
      </c>
      <c r="X191" s="7">
        <v>204600</v>
      </c>
      <c r="Y191" s="7">
        <v>204600</v>
      </c>
      <c r="Z191" s="7">
        <v>204600</v>
      </c>
      <c r="AA191" s="7">
        <v>204600</v>
      </c>
      <c r="AB191" s="6" t="s">
        <v>1273</v>
      </c>
    </row>
    <row r="192" spans="1:28">
      <c r="A192" s="2" t="s">
        <v>1357</v>
      </c>
      <c r="B192" s="3" t="s">
        <v>1178</v>
      </c>
      <c r="C192" s="4">
        <v>972807</v>
      </c>
      <c r="D192" s="5">
        <v>166</v>
      </c>
      <c r="E192" s="6" t="s">
        <v>29</v>
      </c>
      <c r="F192" s="6">
        <v>2022</v>
      </c>
      <c r="G192" s="6" t="s">
        <v>1188</v>
      </c>
      <c r="H192" s="6" t="s">
        <v>1178</v>
      </c>
      <c r="I192" s="6" t="s">
        <v>1358</v>
      </c>
      <c r="J192" s="6" t="s">
        <v>1359</v>
      </c>
      <c r="K192" s="6" t="s">
        <v>1360</v>
      </c>
      <c r="L192" s="6" t="s">
        <v>1361</v>
      </c>
      <c r="M192" s="6">
        <v>60</v>
      </c>
      <c r="N192" s="6" t="s">
        <v>35</v>
      </c>
      <c r="O192" s="6" t="s">
        <v>1362</v>
      </c>
      <c r="P192" s="6" t="s">
        <v>37</v>
      </c>
      <c r="Q192" s="7">
        <v>204600</v>
      </c>
      <c r="R192" s="7">
        <v>0</v>
      </c>
      <c r="S192" s="7">
        <v>0</v>
      </c>
      <c r="T192" s="7">
        <f t="shared" si="2"/>
        <v>204600</v>
      </c>
      <c r="U192" s="6" t="s">
        <v>1271</v>
      </c>
      <c r="V192" s="6" t="s">
        <v>1363</v>
      </c>
      <c r="W192" s="7">
        <v>204600</v>
      </c>
      <c r="X192" s="7">
        <v>204600</v>
      </c>
      <c r="Y192" s="7">
        <v>204600</v>
      </c>
      <c r="Z192" s="7">
        <v>204600</v>
      </c>
      <c r="AA192" s="7">
        <v>204600</v>
      </c>
      <c r="AB192" s="6" t="s">
        <v>1273</v>
      </c>
    </row>
    <row r="193" spans="1:28">
      <c r="A193" s="8" t="s">
        <v>1364</v>
      </c>
      <c r="B193" s="9" t="s">
        <v>1178</v>
      </c>
      <c r="C193" s="10">
        <v>1026301</v>
      </c>
      <c r="D193" s="11">
        <v>157</v>
      </c>
      <c r="E193" s="6" t="s">
        <v>29</v>
      </c>
      <c r="F193" s="6">
        <v>2018</v>
      </c>
      <c r="G193" s="6" t="s">
        <v>1365</v>
      </c>
      <c r="H193" s="6" t="s">
        <v>1178</v>
      </c>
      <c r="I193" s="6" t="s">
        <v>1366</v>
      </c>
      <c r="J193" s="6" t="s">
        <v>1367</v>
      </c>
      <c r="K193" s="6" t="s">
        <v>1368</v>
      </c>
      <c r="L193" s="6" t="s">
        <v>1369</v>
      </c>
      <c r="M193" s="6">
        <v>60</v>
      </c>
      <c r="N193" s="6" t="s">
        <v>35</v>
      </c>
      <c r="O193" s="6" t="s">
        <v>1370</v>
      </c>
      <c r="P193" s="6" t="s">
        <v>37</v>
      </c>
      <c r="Q193" s="7">
        <v>235700</v>
      </c>
      <c r="R193" s="7">
        <v>0</v>
      </c>
      <c r="S193" s="7">
        <v>0</v>
      </c>
      <c r="T193" s="7">
        <f t="shared" si="2"/>
        <v>235700</v>
      </c>
      <c r="U193" s="6" t="s">
        <v>1271</v>
      </c>
      <c r="V193" s="6" t="s">
        <v>1303</v>
      </c>
      <c r="W193" s="7">
        <v>235700</v>
      </c>
      <c r="X193" s="7">
        <v>235700</v>
      </c>
      <c r="Y193" s="7">
        <v>235700</v>
      </c>
      <c r="Z193" s="7">
        <v>235700</v>
      </c>
      <c r="AA193" s="7">
        <v>235700</v>
      </c>
      <c r="AB193" s="6" t="s">
        <v>1273</v>
      </c>
    </row>
    <row r="194" spans="1:28">
      <c r="A194" s="2" t="s">
        <v>1371</v>
      </c>
      <c r="B194" s="3" t="s">
        <v>1178</v>
      </c>
      <c r="C194" s="4">
        <v>1011533</v>
      </c>
      <c r="D194" s="5">
        <v>160</v>
      </c>
      <c r="E194" s="6" t="s">
        <v>29</v>
      </c>
      <c r="F194" s="6">
        <v>1980</v>
      </c>
      <c r="G194" s="6" t="s">
        <v>1372</v>
      </c>
      <c r="H194" s="6" t="s">
        <v>1178</v>
      </c>
      <c r="I194" s="6" t="s">
        <v>1373</v>
      </c>
      <c r="J194" s="6" t="s">
        <v>1374</v>
      </c>
      <c r="K194" s="6"/>
      <c r="L194" s="6" t="s">
        <v>1375</v>
      </c>
      <c r="M194" s="6">
        <v>100</v>
      </c>
      <c r="N194" s="6" t="s">
        <v>35</v>
      </c>
      <c r="O194" s="6" t="s">
        <v>1376</v>
      </c>
      <c r="P194" s="6" t="s">
        <v>37</v>
      </c>
      <c r="Q194" s="7">
        <v>259800</v>
      </c>
      <c r="R194" s="7">
        <v>0</v>
      </c>
      <c r="S194" s="7">
        <v>0</v>
      </c>
      <c r="T194" s="7">
        <f t="shared" ref="T194:T239" si="3">IF(COUNT(Q194:S194)=0,"",SUM(Q194:S194))</f>
        <v>259800</v>
      </c>
      <c r="U194" s="6" t="s">
        <v>1271</v>
      </c>
      <c r="V194" s="6" t="s">
        <v>1303</v>
      </c>
      <c r="W194" s="7">
        <v>259800</v>
      </c>
      <c r="X194" s="7">
        <v>259800</v>
      </c>
      <c r="Y194" s="7">
        <v>259800</v>
      </c>
      <c r="Z194" s="7">
        <v>259800</v>
      </c>
      <c r="AA194" s="7">
        <v>259800</v>
      </c>
      <c r="AB194" s="6" t="s">
        <v>1273</v>
      </c>
    </row>
    <row r="195" ht="26.4" customHeight="1" spans="1:28">
      <c r="A195" s="8" t="s">
        <v>1377</v>
      </c>
      <c r="B195" s="9" t="s">
        <v>1178</v>
      </c>
      <c r="C195" s="10">
        <v>1042597</v>
      </c>
      <c r="D195" s="11">
        <v>154</v>
      </c>
      <c r="E195" s="6" t="s">
        <v>29</v>
      </c>
      <c r="F195" s="6">
        <v>2008</v>
      </c>
      <c r="G195" s="6" t="s">
        <v>1297</v>
      </c>
      <c r="H195" s="6" t="s">
        <v>1178</v>
      </c>
      <c r="I195" s="6" t="s">
        <v>1378</v>
      </c>
      <c r="J195" s="6" t="s">
        <v>1379</v>
      </c>
      <c r="K195" s="6" t="s">
        <v>1380</v>
      </c>
      <c r="L195" s="6" t="s">
        <v>1381</v>
      </c>
      <c r="M195" s="6">
        <v>100</v>
      </c>
      <c r="N195" s="6" t="s">
        <v>35</v>
      </c>
      <c r="O195" s="6" t="s">
        <v>1382</v>
      </c>
      <c r="P195" s="6" t="s">
        <v>37</v>
      </c>
      <c r="Q195" s="7"/>
      <c r="R195" s="7"/>
      <c r="S195" s="7"/>
      <c r="T195" s="7" t="str">
        <f t="shared" si="3"/>
        <v/>
      </c>
      <c r="U195" s="6"/>
      <c r="V195" s="6" t="s">
        <v>1383</v>
      </c>
      <c r="W195" s="7"/>
      <c r="X195" s="7"/>
      <c r="Y195" s="7"/>
      <c r="Z195" s="7"/>
      <c r="AA195" s="7"/>
      <c r="AB195" s="6"/>
    </row>
    <row r="196" spans="1:28">
      <c r="A196" s="2" t="s">
        <v>1384</v>
      </c>
      <c r="B196" s="3" t="s">
        <v>1178</v>
      </c>
      <c r="C196" s="4">
        <v>1053910</v>
      </c>
      <c r="D196" s="5">
        <v>152</v>
      </c>
      <c r="E196" s="6" t="s">
        <v>29</v>
      </c>
      <c r="F196" s="6">
        <v>2009</v>
      </c>
      <c r="G196" s="6" t="s">
        <v>1372</v>
      </c>
      <c r="H196" s="6" t="s">
        <v>1178</v>
      </c>
      <c r="I196" s="6" t="s">
        <v>1385</v>
      </c>
      <c r="J196" s="6" t="s">
        <v>1386</v>
      </c>
      <c r="K196" s="6" t="s">
        <v>1387</v>
      </c>
      <c r="L196" s="6" t="s">
        <v>1388</v>
      </c>
      <c r="M196" s="6">
        <v>100</v>
      </c>
      <c r="N196" s="6" t="s">
        <v>35</v>
      </c>
      <c r="O196" s="6" t="s">
        <v>1389</v>
      </c>
      <c r="P196" s="6" t="s">
        <v>37</v>
      </c>
      <c r="Q196" s="7">
        <v>204000</v>
      </c>
      <c r="R196" s="7">
        <v>0</v>
      </c>
      <c r="S196" s="7">
        <v>0</v>
      </c>
      <c r="T196" s="7">
        <f t="shared" si="3"/>
        <v>204000</v>
      </c>
      <c r="U196" s="6" t="s">
        <v>150</v>
      </c>
      <c r="V196" s="6" t="s">
        <v>1390</v>
      </c>
      <c r="W196" s="7">
        <v>204000</v>
      </c>
      <c r="X196" s="7">
        <v>204000</v>
      </c>
      <c r="Y196" s="7">
        <v>204000</v>
      </c>
      <c r="Z196" s="7">
        <v>204000</v>
      </c>
      <c r="AA196" s="7">
        <v>204000</v>
      </c>
      <c r="AB196" s="6" t="s">
        <v>1350</v>
      </c>
    </row>
    <row r="197" spans="1:28">
      <c r="A197" s="8" t="s">
        <v>1391</v>
      </c>
      <c r="B197" s="9" t="s">
        <v>1178</v>
      </c>
      <c r="C197" s="10">
        <v>1060155</v>
      </c>
      <c r="D197" s="11">
        <v>151</v>
      </c>
      <c r="E197" s="6" t="s">
        <v>29</v>
      </c>
      <c r="F197" s="6">
        <v>2013</v>
      </c>
      <c r="G197" s="6" t="s">
        <v>1223</v>
      </c>
      <c r="H197" s="6" t="s">
        <v>1178</v>
      </c>
      <c r="I197" s="6" t="s">
        <v>1392</v>
      </c>
      <c r="J197" s="6" t="s">
        <v>1393</v>
      </c>
      <c r="K197" s="6"/>
      <c r="L197" s="6" t="s">
        <v>1394</v>
      </c>
      <c r="M197" s="6">
        <v>60</v>
      </c>
      <c r="N197" s="6" t="s">
        <v>35</v>
      </c>
      <c r="O197" s="6" t="s">
        <v>1395</v>
      </c>
      <c r="P197" s="6" t="s">
        <v>37</v>
      </c>
      <c r="Q197" s="7">
        <v>250000</v>
      </c>
      <c r="R197" s="7">
        <v>0</v>
      </c>
      <c r="S197" s="7">
        <v>0</v>
      </c>
      <c r="T197" s="7">
        <f t="shared" si="3"/>
        <v>250000</v>
      </c>
      <c r="U197" s="6" t="s">
        <v>150</v>
      </c>
      <c r="V197" s="6" t="s">
        <v>1396</v>
      </c>
      <c r="W197" s="7">
        <v>250000</v>
      </c>
      <c r="X197" s="7">
        <v>250000</v>
      </c>
      <c r="Y197" s="7">
        <v>250000</v>
      </c>
      <c r="Z197" s="7">
        <v>250000</v>
      </c>
      <c r="AA197" s="7">
        <v>250000</v>
      </c>
      <c r="AB197" s="6" t="s">
        <v>1350</v>
      </c>
    </row>
    <row r="198" spans="1:28">
      <c r="A198" s="2" t="s">
        <v>1397</v>
      </c>
      <c r="B198" s="3" t="s">
        <v>1178</v>
      </c>
      <c r="C198" s="4">
        <v>1072182</v>
      </c>
      <c r="D198" s="5">
        <v>149</v>
      </c>
      <c r="E198" s="6" t="s">
        <v>29</v>
      </c>
      <c r="F198" s="6">
        <v>2016</v>
      </c>
      <c r="G198" s="6" t="s">
        <v>1372</v>
      </c>
      <c r="H198" s="6" t="s">
        <v>1178</v>
      </c>
      <c r="I198" s="6" t="s">
        <v>1398</v>
      </c>
      <c r="J198" s="6"/>
      <c r="K198" s="6"/>
      <c r="L198" s="6" t="s">
        <v>1399</v>
      </c>
      <c r="M198" s="6">
        <v>100</v>
      </c>
      <c r="N198" s="6" t="s">
        <v>35</v>
      </c>
      <c r="O198" s="6" t="s">
        <v>1400</v>
      </c>
      <c r="P198" s="6" t="s">
        <v>37</v>
      </c>
      <c r="Q198" s="7">
        <v>260900</v>
      </c>
      <c r="R198" s="7">
        <v>0</v>
      </c>
      <c r="S198" s="7">
        <v>0</v>
      </c>
      <c r="T198" s="7">
        <f t="shared" si="3"/>
        <v>260900</v>
      </c>
      <c r="U198" s="6" t="s">
        <v>1271</v>
      </c>
      <c r="V198" s="6" t="s">
        <v>1303</v>
      </c>
      <c r="W198" s="7">
        <v>260900</v>
      </c>
      <c r="X198" s="7">
        <v>260900</v>
      </c>
      <c r="Y198" s="7">
        <v>260900</v>
      </c>
      <c r="Z198" s="7">
        <v>260900</v>
      </c>
      <c r="AA198" s="7">
        <v>260900</v>
      </c>
      <c r="AB198" s="6" t="s">
        <v>1273</v>
      </c>
    </row>
    <row r="199" spans="1:28">
      <c r="A199" s="8" t="s">
        <v>1401</v>
      </c>
      <c r="B199" s="9" t="s">
        <v>1178</v>
      </c>
      <c r="C199" s="10">
        <v>1210473</v>
      </c>
      <c r="D199" s="11">
        <v>128</v>
      </c>
      <c r="E199" s="6" t="s">
        <v>29</v>
      </c>
      <c r="F199" s="6">
        <v>2014</v>
      </c>
      <c r="G199" s="6" t="s">
        <v>1402</v>
      </c>
      <c r="H199" s="6" t="s">
        <v>1178</v>
      </c>
      <c r="I199" s="6" t="s">
        <v>1403</v>
      </c>
      <c r="J199" s="6" t="s">
        <v>1404</v>
      </c>
      <c r="K199" s="6" t="s">
        <v>1405</v>
      </c>
      <c r="L199" s="6" t="s">
        <v>1406</v>
      </c>
      <c r="M199" s="6">
        <v>60</v>
      </c>
      <c r="N199" s="6" t="s">
        <v>35</v>
      </c>
      <c r="O199" s="6" t="s">
        <v>1407</v>
      </c>
      <c r="P199" s="6" t="s">
        <v>37</v>
      </c>
      <c r="Q199" s="7">
        <v>259000</v>
      </c>
      <c r="R199" s="7">
        <v>0</v>
      </c>
      <c r="S199" s="7">
        <v>0</v>
      </c>
      <c r="T199" s="7">
        <f t="shared" si="3"/>
        <v>259000</v>
      </c>
      <c r="U199" s="6" t="s">
        <v>1271</v>
      </c>
      <c r="V199" s="6" t="s">
        <v>1303</v>
      </c>
      <c r="W199" s="7">
        <v>259000</v>
      </c>
      <c r="X199" s="7">
        <v>259000</v>
      </c>
      <c r="Y199" s="7">
        <v>259000</v>
      </c>
      <c r="Z199" s="7">
        <v>259000</v>
      </c>
      <c r="AA199" s="7">
        <v>259000</v>
      </c>
      <c r="AB199" s="6" t="s">
        <v>1273</v>
      </c>
    </row>
    <row r="200" ht="26.4" customHeight="1" spans="1:28">
      <c r="A200" s="2" t="s">
        <v>1408</v>
      </c>
      <c r="B200" s="3" t="s">
        <v>1178</v>
      </c>
      <c r="C200" s="4">
        <v>1080167</v>
      </c>
      <c r="D200" s="5">
        <v>148</v>
      </c>
      <c r="E200" s="6" t="s">
        <v>29</v>
      </c>
      <c r="F200" s="6">
        <v>2014</v>
      </c>
      <c r="G200" s="6" t="s">
        <v>1188</v>
      </c>
      <c r="H200" s="6" t="s">
        <v>1178</v>
      </c>
      <c r="I200" s="6" t="s">
        <v>1409</v>
      </c>
      <c r="J200" s="6" t="s">
        <v>1410</v>
      </c>
      <c r="K200" s="6" t="s">
        <v>1411</v>
      </c>
      <c r="L200" s="6" t="s">
        <v>1412</v>
      </c>
      <c r="M200" s="6">
        <v>50</v>
      </c>
      <c r="N200" s="6" t="s">
        <v>35</v>
      </c>
      <c r="O200" s="6" t="s">
        <v>1413</v>
      </c>
      <c r="P200" s="6"/>
      <c r="Q200" s="7">
        <v>245700</v>
      </c>
      <c r="R200" s="7">
        <v>0</v>
      </c>
      <c r="S200" s="7">
        <v>0</v>
      </c>
      <c r="T200" s="7">
        <f t="shared" si="3"/>
        <v>245700</v>
      </c>
      <c r="U200" s="6" t="s">
        <v>1271</v>
      </c>
      <c r="V200" s="6" t="s">
        <v>1414</v>
      </c>
      <c r="W200" s="7">
        <v>245700</v>
      </c>
      <c r="X200" s="7">
        <v>245700</v>
      </c>
      <c r="Y200" s="7">
        <v>245700</v>
      </c>
      <c r="Z200" s="7">
        <v>245700</v>
      </c>
      <c r="AA200" s="7">
        <v>245700</v>
      </c>
      <c r="AB200" s="6" t="s">
        <v>1273</v>
      </c>
    </row>
    <row r="201" spans="1:28">
      <c r="A201" s="8" t="s">
        <v>1415</v>
      </c>
      <c r="B201" s="9" t="s">
        <v>1178</v>
      </c>
      <c r="C201" s="10">
        <v>1102872</v>
      </c>
      <c r="D201" s="11">
        <v>144</v>
      </c>
      <c r="E201" s="6" t="s">
        <v>29</v>
      </c>
      <c r="F201" s="6">
        <v>2010</v>
      </c>
      <c r="G201" s="6" t="s">
        <v>1200</v>
      </c>
      <c r="H201" s="6" t="s">
        <v>1178</v>
      </c>
      <c r="I201" s="6" t="s">
        <v>1416</v>
      </c>
      <c r="J201" s="6" t="s">
        <v>1417</v>
      </c>
      <c r="K201" s="6"/>
      <c r="L201" s="6" t="s">
        <v>1418</v>
      </c>
      <c r="M201" s="6">
        <v>60</v>
      </c>
      <c r="N201" s="6" t="s">
        <v>35</v>
      </c>
      <c r="O201" s="6" t="s">
        <v>1419</v>
      </c>
      <c r="P201" s="6" t="s">
        <v>37</v>
      </c>
      <c r="Q201" s="7">
        <v>204600</v>
      </c>
      <c r="R201" s="7">
        <v>0</v>
      </c>
      <c r="S201" s="7">
        <v>0</v>
      </c>
      <c r="T201" s="7">
        <f t="shared" si="3"/>
        <v>204600</v>
      </c>
      <c r="U201" s="6" t="s">
        <v>1271</v>
      </c>
      <c r="V201" s="6" t="s">
        <v>1303</v>
      </c>
      <c r="W201" s="7">
        <v>204600</v>
      </c>
      <c r="X201" s="7">
        <v>204600</v>
      </c>
      <c r="Y201" s="7">
        <v>204600</v>
      </c>
      <c r="Z201" s="7">
        <v>204600</v>
      </c>
      <c r="AA201" s="7">
        <v>204600</v>
      </c>
      <c r="AB201" s="6" t="s">
        <v>1273</v>
      </c>
    </row>
    <row r="202" spans="1:28">
      <c r="A202" s="2" t="s">
        <v>1420</v>
      </c>
      <c r="B202" s="3" t="s">
        <v>1178</v>
      </c>
      <c r="C202" s="4">
        <v>1161388</v>
      </c>
      <c r="D202" s="5">
        <v>135</v>
      </c>
      <c r="E202" s="6" t="s">
        <v>29</v>
      </c>
      <c r="F202" s="6">
        <v>2009</v>
      </c>
      <c r="G202" s="6" t="s">
        <v>1421</v>
      </c>
      <c r="H202" s="6" t="s">
        <v>1178</v>
      </c>
      <c r="I202" s="6" t="s">
        <v>1422</v>
      </c>
      <c r="J202" s="6" t="s">
        <v>1423</v>
      </c>
      <c r="K202" s="6" t="s">
        <v>1424</v>
      </c>
      <c r="L202" s="6" t="s">
        <v>1425</v>
      </c>
      <c r="M202" s="6">
        <v>100</v>
      </c>
      <c r="N202" s="6" t="s">
        <v>35</v>
      </c>
      <c r="O202" s="6" t="s">
        <v>1426</v>
      </c>
      <c r="P202" s="6" t="s">
        <v>37</v>
      </c>
      <c r="Q202" s="7">
        <v>225000</v>
      </c>
      <c r="R202" s="7">
        <v>0</v>
      </c>
      <c r="S202" s="7">
        <v>0</v>
      </c>
      <c r="T202" s="7">
        <f t="shared" si="3"/>
        <v>225000</v>
      </c>
      <c r="U202" s="6" t="s">
        <v>1271</v>
      </c>
      <c r="V202" s="6" t="s">
        <v>1303</v>
      </c>
      <c r="W202" s="7">
        <v>225000</v>
      </c>
      <c r="X202" s="7">
        <v>225000</v>
      </c>
      <c r="Y202" s="7">
        <v>225000</v>
      </c>
      <c r="Z202" s="7">
        <v>225000</v>
      </c>
      <c r="AA202" s="7">
        <v>225000</v>
      </c>
      <c r="AB202" s="6" t="s">
        <v>1273</v>
      </c>
    </row>
    <row r="203" spans="1:28">
      <c r="A203" s="8" t="s">
        <v>1427</v>
      </c>
      <c r="B203" s="9" t="s">
        <v>1178</v>
      </c>
      <c r="C203" s="10">
        <v>1277171</v>
      </c>
      <c r="D203" s="11">
        <v>119</v>
      </c>
      <c r="E203" s="6" t="s">
        <v>29</v>
      </c>
      <c r="F203" s="6">
        <v>2017</v>
      </c>
      <c r="G203" s="6" t="s">
        <v>1428</v>
      </c>
      <c r="H203" s="6" t="s">
        <v>1178</v>
      </c>
      <c r="I203" s="6" t="s">
        <v>1429</v>
      </c>
      <c r="J203" s="6" t="s">
        <v>1430</v>
      </c>
      <c r="K203" s="6" t="s">
        <v>1431</v>
      </c>
      <c r="L203" s="6" t="s">
        <v>1432</v>
      </c>
      <c r="M203" s="6">
        <v>100</v>
      </c>
      <c r="N203" s="6" t="s">
        <v>35</v>
      </c>
      <c r="O203" s="6" t="s">
        <v>1336</v>
      </c>
      <c r="P203" s="6" t="s">
        <v>37</v>
      </c>
      <c r="Q203" s="7">
        <v>232100</v>
      </c>
      <c r="R203" s="7">
        <v>0</v>
      </c>
      <c r="S203" s="7">
        <v>0</v>
      </c>
      <c r="T203" s="7">
        <f t="shared" si="3"/>
        <v>232100</v>
      </c>
      <c r="U203" s="6" t="s">
        <v>1271</v>
      </c>
      <c r="V203" s="6" t="s">
        <v>1303</v>
      </c>
      <c r="W203" s="7">
        <v>232100</v>
      </c>
      <c r="X203" s="7">
        <v>232100</v>
      </c>
      <c r="Y203" s="7">
        <v>232100</v>
      </c>
      <c r="Z203" s="7">
        <v>232100</v>
      </c>
      <c r="AA203" s="7">
        <v>232100</v>
      </c>
      <c r="AB203" s="6" t="s">
        <v>1273</v>
      </c>
    </row>
    <row r="204" ht="26.4" customHeight="1" spans="1:28">
      <c r="A204" s="2" t="s">
        <v>1433</v>
      </c>
      <c r="B204" s="3" t="s">
        <v>1178</v>
      </c>
      <c r="C204" s="4">
        <v>1151973</v>
      </c>
      <c r="D204" s="5">
        <v>136</v>
      </c>
      <c r="E204" s="6" t="s">
        <v>29</v>
      </c>
      <c r="F204" s="6">
        <v>2006</v>
      </c>
      <c r="G204" s="6" t="s">
        <v>1297</v>
      </c>
      <c r="H204" s="6" t="s">
        <v>1178</v>
      </c>
      <c r="I204" s="6" t="s">
        <v>1434</v>
      </c>
      <c r="J204" s="6" t="s">
        <v>1435</v>
      </c>
      <c r="K204" s="6" t="s">
        <v>1436</v>
      </c>
      <c r="L204" s="6" t="s">
        <v>1437</v>
      </c>
      <c r="M204" s="6">
        <v>100</v>
      </c>
      <c r="N204" s="6" t="s">
        <v>35</v>
      </c>
      <c r="O204" s="6" t="s">
        <v>1438</v>
      </c>
      <c r="P204" s="6" t="s">
        <v>37</v>
      </c>
      <c r="Q204" s="7">
        <v>259000</v>
      </c>
      <c r="R204" s="7">
        <v>0</v>
      </c>
      <c r="S204" s="7">
        <v>0</v>
      </c>
      <c r="T204" s="7">
        <f t="shared" si="3"/>
        <v>259000</v>
      </c>
      <c r="U204" s="6" t="s">
        <v>150</v>
      </c>
      <c r="V204" s="6" t="s">
        <v>1439</v>
      </c>
      <c r="W204" s="7">
        <v>259000</v>
      </c>
      <c r="X204" s="7">
        <v>259000</v>
      </c>
      <c r="Y204" s="7">
        <v>259000</v>
      </c>
      <c r="Z204" s="7">
        <v>259000</v>
      </c>
      <c r="AA204" s="7">
        <v>259000</v>
      </c>
      <c r="AB204" s="6" t="s">
        <v>1350</v>
      </c>
    </row>
    <row r="205" spans="1:28">
      <c r="A205" s="8" t="s">
        <v>1440</v>
      </c>
      <c r="B205" s="9" t="s">
        <v>1178</v>
      </c>
      <c r="C205" s="10">
        <v>1117725</v>
      </c>
      <c r="D205" s="11">
        <v>142</v>
      </c>
      <c r="E205" s="6" t="s">
        <v>29</v>
      </c>
      <c r="F205" s="6">
        <v>2009</v>
      </c>
      <c r="G205" s="6" t="s">
        <v>1194</v>
      </c>
      <c r="H205" s="6" t="s">
        <v>1178</v>
      </c>
      <c r="I205" s="6" t="s">
        <v>1441</v>
      </c>
      <c r="J205" s="6" t="s">
        <v>1442</v>
      </c>
      <c r="K205" s="6" t="s">
        <v>1443</v>
      </c>
      <c r="L205" s="6" t="s">
        <v>1444</v>
      </c>
      <c r="M205" s="6">
        <v>60</v>
      </c>
      <c r="N205" s="6" t="s">
        <v>35</v>
      </c>
      <c r="O205" s="6" t="s">
        <v>1309</v>
      </c>
      <c r="P205" s="6"/>
      <c r="Q205" s="7">
        <v>204600</v>
      </c>
      <c r="R205" s="7">
        <v>0</v>
      </c>
      <c r="S205" s="7">
        <v>0</v>
      </c>
      <c r="T205" s="7">
        <f t="shared" si="3"/>
        <v>204600</v>
      </c>
      <c r="U205" s="6" t="s">
        <v>1271</v>
      </c>
      <c r="V205" s="6" t="s">
        <v>1303</v>
      </c>
      <c r="W205" s="7">
        <v>204600</v>
      </c>
      <c r="X205" s="7">
        <v>204600</v>
      </c>
      <c r="Y205" s="7">
        <v>204600</v>
      </c>
      <c r="Z205" s="7">
        <v>204600</v>
      </c>
      <c r="AA205" s="7">
        <v>204600</v>
      </c>
      <c r="AB205" s="6" t="s">
        <v>1273</v>
      </c>
    </row>
    <row r="206" spans="1:28">
      <c r="A206" s="2" t="s">
        <v>1445</v>
      </c>
      <c r="B206" s="3" t="s">
        <v>1178</v>
      </c>
      <c r="C206" s="4">
        <v>1124485</v>
      </c>
      <c r="D206" s="5">
        <v>141</v>
      </c>
      <c r="E206" s="6" t="s">
        <v>29</v>
      </c>
      <c r="F206" s="6">
        <v>2023</v>
      </c>
      <c r="G206" s="6" t="s">
        <v>1194</v>
      </c>
      <c r="H206" s="6" t="s">
        <v>1178</v>
      </c>
      <c r="I206" s="6" t="s">
        <v>1446</v>
      </c>
      <c r="J206" s="6" t="s">
        <v>1447</v>
      </c>
      <c r="K206" s="6" t="s">
        <v>1448</v>
      </c>
      <c r="L206" s="6" t="s">
        <v>1449</v>
      </c>
      <c r="M206" s="6">
        <v>60</v>
      </c>
      <c r="N206" s="6" t="s">
        <v>35</v>
      </c>
      <c r="O206" s="6" t="s">
        <v>1450</v>
      </c>
      <c r="P206" s="6" t="s">
        <v>37</v>
      </c>
      <c r="Q206" s="7">
        <v>204600</v>
      </c>
      <c r="R206" s="7">
        <v>0</v>
      </c>
      <c r="S206" s="7">
        <v>0</v>
      </c>
      <c r="T206" s="7">
        <f t="shared" si="3"/>
        <v>204600</v>
      </c>
      <c r="U206" s="6" t="s">
        <v>1271</v>
      </c>
      <c r="V206" s="6" t="s">
        <v>1451</v>
      </c>
      <c r="W206" s="7">
        <v>204600</v>
      </c>
      <c r="X206" s="7">
        <v>204600</v>
      </c>
      <c r="Y206" s="7">
        <v>204600</v>
      </c>
      <c r="Z206" s="7">
        <v>204600</v>
      </c>
      <c r="AA206" s="7">
        <v>204600</v>
      </c>
      <c r="AB206" s="6" t="s">
        <v>1273</v>
      </c>
    </row>
    <row r="207" spans="1:28">
      <c r="A207" s="8" t="s">
        <v>1452</v>
      </c>
      <c r="B207" s="9" t="s">
        <v>1178</v>
      </c>
      <c r="C207" s="10">
        <v>1288690</v>
      </c>
      <c r="D207" s="11">
        <v>117</v>
      </c>
      <c r="E207" s="6" t="s">
        <v>29</v>
      </c>
      <c r="F207" s="6">
        <v>2018</v>
      </c>
      <c r="G207" s="6" t="s">
        <v>1194</v>
      </c>
      <c r="H207" s="6" t="s">
        <v>1178</v>
      </c>
      <c r="I207" s="6" t="s">
        <v>1453</v>
      </c>
      <c r="J207" s="6" t="s">
        <v>1454</v>
      </c>
      <c r="K207" s="6" t="s">
        <v>1455</v>
      </c>
      <c r="L207" s="6" t="s">
        <v>1456</v>
      </c>
      <c r="M207" s="6">
        <v>60</v>
      </c>
      <c r="N207" s="6" t="s">
        <v>35</v>
      </c>
      <c r="O207" s="6" t="s">
        <v>1457</v>
      </c>
      <c r="P207" s="6" t="s">
        <v>37</v>
      </c>
      <c r="Q207" s="7">
        <v>204600</v>
      </c>
      <c r="R207" s="7">
        <v>0</v>
      </c>
      <c r="S207" s="7">
        <v>0</v>
      </c>
      <c r="T207" s="7">
        <f t="shared" si="3"/>
        <v>204600</v>
      </c>
      <c r="U207" s="6" t="s">
        <v>150</v>
      </c>
      <c r="V207" s="6" t="s">
        <v>1458</v>
      </c>
      <c r="W207" s="7">
        <v>204600</v>
      </c>
      <c r="X207" s="7">
        <v>204600</v>
      </c>
      <c r="Y207" s="7">
        <v>204600</v>
      </c>
      <c r="Z207" s="7">
        <v>204600</v>
      </c>
      <c r="AA207" s="7">
        <v>204600</v>
      </c>
      <c r="AB207" s="6" t="s">
        <v>1350</v>
      </c>
    </row>
    <row r="208" spans="1:28">
      <c r="A208" s="2" t="s">
        <v>1459</v>
      </c>
      <c r="B208" s="3" t="s">
        <v>1178</v>
      </c>
      <c r="C208" s="4">
        <v>1258003</v>
      </c>
      <c r="D208" s="5">
        <v>121</v>
      </c>
      <c r="E208" s="6" t="s">
        <v>29</v>
      </c>
      <c r="F208" s="6">
        <v>2015</v>
      </c>
      <c r="G208" s="6" t="s">
        <v>1460</v>
      </c>
      <c r="H208" s="6" t="s">
        <v>1178</v>
      </c>
      <c r="I208" s="6" t="s">
        <v>1461</v>
      </c>
      <c r="J208" s="6" t="s">
        <v>1462</v>
      </c>
      <c r="K208" s="6"/>
      <c r="L208" s="6" t="s">
        <v>1463</v>
      </c>
      <c r="M208" s="6">
        <v>100</v>
      </c>
      <c r="N208" s="6" t="s">
        <v>35</v>
      </c>
      <c r="O208" s="6" t="s">
        <v>1464</v>
      </c>
      <c r="P208" s="6" t="s">
        <v>37</v>
      </c>
      <c r="Q208" s="7">
        <v>230600</v>
      </c>
      <c r="R208" s="7">
        <v>0</v>
      </c>
      <c r="S208" s="7">
        <v>0</v>
      </c>
      <c r="T208" s="7">
        <f t="shared" si="3"/>
        <v>230600</v>
      </c>
      <c r="U208" s="6" t="s">
        <v>150</v>
      </c>
      <c r="V208" s="6" t="s">
        <v>1465</v>
      </c>
      <c r="W208" s="7">
        <v>230600</v>
      </c>
      <c r="X208" s="7">
        <v>230600</v>
      </c>
      <c r="Y208" s="7">
        <v>230600</v>
      </c>
      <c r="Z208" s="7">
        <v>230600</v>
      </c>
      <c r="AA208" s="7">
        <v>230600</v>
      </c>
      <c r="AB208" s="6" t="s">
        <v>1350</v>
      </c>
    </row>
    <row r="209" ht="26.4" customHeight="1" spans="1:28">
      <c r="A209" s="8" t="s">
        <v>1466</v>
      </c>
      <c r="B209" s="9" t="s">
        <v>1178</v>
      </c>
      <c r="C209" s="10">
        <v>1314261</v>
      </c>
      <c r="D209" s="11">
        <v>114</v>
      </c>
      <c r="E209" s="6" t="s">
        <v>29</v>
      </c>
      <c r="F209" s="6">
        <v>1995</v>
      </c>
      <c r="G209" s="6" t="s">
        <v>1467</v>
      </c>
      <c r="H209" s="6" t="s">
        <v>1178</v>
      </c>
      <c r="I209" s="6" t="s">
        <v>1468</v>
      </c>
      <c r="J209" s="6" t="s">
        <v>1469</v>
      </c>
      <c r="K209" s="6" t="s">
        <v>1470</v>
      </c>
      <c r="L209" s="6" t="s">
        <v>1471</v>
      </c>
      <c r="M209" s="6">
        <v>60</v>
      </c>
      <c r="N209" s="6" t="s">
        <v>35</v>
      </c>
      <c r="O209" s="6" t="s">
        <v>1472</v>
      </c>
      <c r="P209" s="6" t="s">
        <v>37</v>
      </c>
      <c r="Q209" s="7">
        <v>260600</v>
      </c>
      <c r="R209" s="7">
        <v>0</v>
      </c>
      <c r="S209" s="7">
        <v>0</v>
      </c>
      <c r="T209" s="7">
        <f t="shared" si="3"/>
        <v>260600</v>
      </c>
      <c r="U209" s="6" t="s">
        <v>1271</v>
      </c>
      <c r="V209" s="6" t="s">
        <v>1303</v>
      </c>
      <c r="W209" s="7">
        <v>260600</v>
      </c>
      <c r="X209" s="7">
        <v>260600</v>
      </c>
      <c r="Y209" s="7">
        <v>260600</v>
      </c>
      <c r="Z209" s="7">
        <v>260600</v>
      </c>
      <c r="AA209" s="7">
        <v>260600</v>
      </c>
      <c r="AB209" s="6" t="s">
        <v>1273</v>
      </c>
    </row>
    <row r="210" spans="1:28">
      <c r="A210" s="2" t="s">
        <v>1473</v>
      </c>
      <c r="B210" s="3" t="s">
        <v>1178</v>
      </c>
      <c r="C210" s="4">
        <v>1306110</v>
      </c>
      <c r="D210" s="5">
        <v>115</v>
      </c>
      <c r="E210" s="6" t="s">
        <v>29</v>
      </c>
      <c r="F210" s="6">
        <v>2012</v>
      </c>
      <c r="G210" s="6" t="s">
        <v>1311</v>
      </c>
      <c r="H210" s="6" t="s">
        <v>1178</v>
      </c>
      <c r="I210" s="6" t="s">
        <v>1474</v>
      </c>
      <c r="J210" s="6" t="s">
        <v>1475</v>
      </c>
      <c r="K210" s="6" t="s">
        <v>1476</v>
      </c>
      <c r="L210" s="6" t="s">
        <v>1477</v>
      </c>
      <c r="M210" s="6">
        <v>60</v>
      </c>
      <c r="N210" s="6" t="s">
        <v>35</v>
      </c>
      <c r="O210" s="6" t="s">
        <v>1478</v>
      </c>
      <c r="P210" s="6" t="s">
        <v>37</v>
      </c>
      <c r="Q210" s="7">
        <v>255800</v>
      </c>
      <c r="R210" s="7">
        <v>0</v>
      </c>
      <c r="S210" s="7">
        <v>0</v>
      </c>
      <c r="T210" s="7">
        <f t="shared" si="3"/>
        <v>255800</v>
      </c>
      <c r="U210" s="6" t="s">
        <v>1271</v>
      </c>
      <c r="V210" s="6" t="s">
        <v>1303</v>
      </c>
      <c r="W210" s="7">
        <v>255800</v>
      </c>
      <c r="X210" s="7">
        <v>255800</v>
      </c>
      <c r="Y210" s="7">
        <v>255800</v>
      </c>
      <c r="Z210" s="7">
        <v>255800</v>
      </c>
      <c r="AA210" s="7">
        <v>255800</v>
      </c>
      <c r="AB210" s="6" t="s">
        <v>1273</v>
      </c>
    </row>
    <row r="211" spans="1:28">
      <c r="A211" s="8" t="s">
        <v>1479</v>
      </c>
      <c r="B211" s="9" t="s">
        <v>1178</v>
      </c>
      <c r="C211" s="10">
        <v>1175866</v>
      </c>
      <c r="D211" s="11">
        <v>133</v>
      </c>
      <c r="E211" s="6" t="s">
        <v>29</v>
      </c>
      <c r="F211" s="6">
        <v>2020</v>
      </c>
      <c r="G211" s="6" t="s">
        <v>1480</v>
      </c>
      <c r="H211" s="6" t="s">
        <v>1178</v>
      </c>
      <c r="I211" s="6" t="s">
        <v>1481</v>
      </c>
      <c r="J211" s="6" t="s">
        <v>1482</v>
      </c>
      <c r="K211" s="6" t="s">
        <v>1483</v>
      </c>
      <c r="L211" s="6" t="s">
        <v>1484</v>
      </c>
      <c r="M211" s="6">
        <v>60</v>
      </c>
      <c r="N211" s="6" t="s">
        <v>35</v>
      </c>
      <c r="O211" s="6" t="s">
        <v>1485</v>
      </c>
      <c r="P211" s="6" t="s">
        <v>37</v>
      </c>
      <c r="Q211" s="7">
        <v>280000</v>
      </c>
      <c r="R211" s="7">
        <v>0</v>
      </c>
      <c r="S211" s="7">
        <v>0</v>
      </c>
      <c r="T211" s="7">
        <f t="shared" si="3"/>
        <v>280000</v>
      </c>
      <c r="U211" s="6" t="s">
        <v>1271</v>
      </c>
      <c r="V211" s="6" t="s">
        <v>1486</v>
      </c>
      <c r="W211" s="7">
        <v>280000</v>
      </c>
      <c r="X211" s="7">
        <v>280000</v>
      </c>
      <c r="Y211" s="7">
        <v>280000</v>
      </c>
      <c r="Z211" s="7">
        <v>280000</v>
      </c>
      <c r="AA211" s="7">
        <v>280000</v>
      </c>
      <c r="AB211" s="6" t="s">
        <v>1273</v>
      </c>
    </row>
    <row r="212" spans="1:28">
      <c r="A212" s="2" t="s">
        <v>1487</v>
      </c>
      <c r="B212" s="3" t="s">
        <v>1178</v>
      </c>
      <c r="C212" s="4">
        <v>1115633</v>
      </c>
      <c r="D212" s="5">
        <v>142</v>
      </c>
      <c r="E212" s="6" t="s">
        <v>29</v>
      </c>
      <c r="F212" s="6">
        <v>2023</v>
      </c>
      <c r="G212" s="6" t="s">
        <v>1311</v>
      </c>
      <c r="H212" s="6" t="s">
        <v>1178</v>
      </c>
      <c r="I212" s="6" t="s">
        <v>1488</v>
      </c>
      <c r="J212" s="6" t="s">
        <v>1489</v>
      </c>
      <c r="K212" s="6" t="s">
        <v>1490</v>
      </c>
      <c r="L212" s="6" t="s">
        <v>1491</v>
      </c>
      <c r="M212" s="6">
        <v>60</v>
      </c>
      <c r="N212" s="6" t="s">
        <v>35</v>
      </c>
      <c r="O212" s="6" t="s">
        <v>1492</v>
      </c>
      <c r="P212" s="6" t="s">
        <v>37</v>
      </c>
      <c r="Q212" s="7">
        <v>204600</v>
      </c>
      <c r="R212" s="7">
        <v>0</v>
      </c>
      <c r="S212" s="7">
        <v>0</v>
      </c>
      <c r="T212" s="7">
        <f t="shared" si="3"/>
        <v>204600</v>
      </c>
      <c r="U212" s="6" t="s">
        <v>1271</v>
      </c>
      <c r="V212" s="6" t="s">
        <v>1493</v>
      </c>
      <c r="W212" s="7">
        <v>204600</v>
      </c>
      <c r="X212" s="7">
        <v>204600</v>
      </c>
      <c r="Y212" s="7">
        <v>204600</v>
      </c>
      <c r="Z212" s="7">
        <v>204600</v>
      </c>
      <c r="AA212" s="7">
        <v>204600</v>
      </c>
      <c r="AB212" s="6" t="s">
        <v>1273</v>
      </c>
    </row>
    <row r="213" ht="26.4" customHeight="1" spans="1:28">
      <c r="A213" s="8" t="s">
        <v>1494</v>
      </c>
      <c r="B213" s="9" t="s">
        <v>1178</v>
      </c>
      <c r="C213" s="10">
        <v>1270135</v>
      </c>
      <c r="D213" s="11">
        <v>120</v>
      </c>
      <c r="E213" s="6" t="s">
        <v>1131</v>
      </c>
      <c r="F213" s="6">
        <v>1994</v>
      </c>
      <c r="G213" s="6" t="s">
        <v>1495</v>
      </c>
      <c r="H213" s="6" t="s">
        <v>1178</v>
      </c>
      <c r="I213" s="6" t="s">
        <v>1496</v>
      </c>
      <c r="J213" s="6" t="s">
        <v>1497</v>
      </c>
      <c r="K213" s="6" t="s">
        <v>1498</v>
      </c>
      <c r="L213" s="6" t="s">
        <v>1499</v>
      </c>
      <c r="M213" s="6">
        <v>60</v>
      </c>
      <c r="N213" s="6" t="s">
        <v>35</v>
      </c>
      <c r="O213" s="6" t="s">
        <v>1500</v>
      </c>
      <c r="P213" s="6" t="s">
        <v>37</v>
      </c>
      <c r="Q213" s="7">
        <v>198000</v>
      </c>
      <c r="R213" s="7">
        <v>0</v>
      </c>
      <c r="S213" s="7">
        <v>0</v>
      </c>
      <c r="T213" s="7">
        <f t="shared" si="3"/>
        <v>198000</v>
      </c>
      <c r="U213" s="6" t="s">
        <v>150</v>
      </c>
      <c r="V213" s="6" t="s">
        <v>1501</v>
      </c>
      <c r="W213" s="7">
        <v>198000</v>
      </c>
      <c r="X213" s="7">
        <v>198000</v>
      </c>
      <c r="Y213" s="7">
        <v>198000</v>
      </c>
      <c r="Z213" s="7">
        <v>198000</v>
      </c>
      <c r="AA213" s="7">
        <v>198000</v>
      </c>
      <c r="AB213" s="6" t="s">
        <v>1502</v>
      </c>
    </row>
    <row r="214" ht="26.4" customHeight="1" spans="1:28">
      <c r="A214" s="2" t="s">
        <v>1503</v>
      </c>
      <c r="B214" s="3" t="s">
        <v>1178</v>
      </c>
      <c r="C214" s="4">
        <v>1306404</v>
      </c>
      <c r="D214" s="5">
        <v>115</v>
      </c>
      <c r="E214" s="6" t="s">
        <v>29</v>
      </c>
      <c r="F214" s="6">
        <v>2019</v>
      </c>
      <c r="G214" s="6" t="s">
        <v>1504</v>
      </c>
      <c r="H214" s="6" t="s">
        <v>1178</v>
      </c>
      <c r="I214" s="6" t="s">
        <v>1505</v>
      </c>
      <c r="J214" s="6" t="s">
        <v>1506</v>
      </c>
      <c r="K214" s="6" t="s">
        <v>1507</v>
      </c>
      <c r="L214" s="6" t="s">
        <v>1508</v>
      </c>
      <c r="M214" s="6">
        <v>60</v>
      </c>
      <c r="N214" s="6" t="s">
        <v>35</v>
      </c>
      <c r="O214" s="6" t="s">
        <v>1509</v>
      </c>
      <c r="P214" s="6" t="s">
        <v>37</v>
      </c>
      <c r="Q214" s="7">
        <v>204600</v>
      </c>
      <c r="R214" s="7">
        <v>0</v>
      </c>
      <c r="S214" s="7">
        <v>0</v>
      </c>
      <c r="T214" s="7">
        <f t="shared" si="3"/>
        <v>204600</v>
      </c>
      <c r="U214" s="6" t="s">
        <v>150</v>
      </c>
      <c r="V214" s="6" t="s">
        <v>1510</v>
      </c>
      <c r="W214" s="7">
        <v>204600</v>
      </c>
      <c r="X214" s="7">
        <v>204600</v>
      </c>
      <c r="Y214" s="7">
        <v>204600</v>
      </c>
      <c r="Z214" s="7">
        <v>204600</v>
      </c>
      <c r="AA214" s="7">
        <v>204600</v>
      </c>
      <c r="AB214" s="6" t="s">
        <v>1350</v>
      </c>
    </row>
    <row r="215" spans="1:28">
      <c r="A215" s="8" t="s">
        <v>1511</v>
      </c>
      <c r="B215" s="9" t="s">
        <v>1178</v>
      </c>
      <c r="C215" s="10">
        <v>1185157</v>
      </c>
      <c r="D215" s="11">
        <v>132</v>
      </c>
      <c r="E215" s="6" t="s">
        <v>29</v>
      </c>
      <c r="F215" s="6">
        <v>2014</v>
      </c>
      <c r="G215" s="6" t="s">
        <v>1512</v>
      </c>
      <c r="H215" s="6" t="s">
        <v>1178</v>
      </c>
      <c r="I215" s="6" t="s">
        <v>1513</v>
      </c>
      <c r="J215" s="6" t="s">
        <v>1514</v>
      </c>
      <c r="K215" s="6" t="s">
        <v>1515</v>
      </c>
      <c r="L215" s="6" t="s">
        <v>1516</v>
      </c>
      <c r="M215" s="6">
        <v>100</v>
      </c>
      <c r="N215" s="6" t="s">
        <v>35</v>
      </c>
      <c r="O215" s="6" t="s">
        <v>1517</v>
      </c>
      <c r="P215" s="6" t="s">
        <v>37</v>
      </c>
      <c r="Q215" s="7">
        <v>252100</v>
      </c>
      <c r="R215" s="7">
        <v>0</v>
      </c>
      <c r="S215" s="7">
        <v>26200</v>
      </c>
      <c r="T215" s="7">
        <f t="shared" si="3"/>
        <v>278300</v>
      </c>
      <c r="U215" s="6" t="s">
        <v>150</v>
      </c>
      <c r="V215" s="6" t="s">
        <v>1518</v>
      </c>
      <c r="W215" s="7">
        <v>278300</v>
      </c>
      <c r="X215" s="7">
        <v>278300</v>
      </c>
      <c r="Y215" s="7">
        <v>278300</v>
      </c>
      <c r="Z215" s="7">
        <v>278300</v>
      </c>
      <c r="AA215" s="7">
        <v>278300</v>
      </c>
      <c r="AB215" s="6" t="s">
        <v>1350</v>
      </c>
    </row>
    <row r="216" spans="1:28">
      <c r="A216" s="2" t="s">
        <v>1519</v>
      </c>
      <c r="B216" s="3" t="s">
        <v>1178</v>
      </c>
      <c r="C216" s="4">
        <v>1246723</v>
      </c>
      <c r="D216" s="5">
        <v>123</v>
      </c>
      <c r="E216" s="6" t="s">
        <v>29</v>
      </c>
      <c r="F216" s="6">
        <v>2015</v>
      </c>
      <c r="G216" s="6" t="s">
        <v>1520</v>
      </c>
      <c r="H216" s="6" t="s">
        <v>1178</v>
      </c>
      <c r="I216" s="6" t="s">
        <v>1521</v>
      </c>
      <c r="J216" s="6" t="s">
        <v>1522</v>
      </c>
      <c r="K216" s="6" t="s">
        <v>1523</v>
      </c>
      <c r="L216" s="6" t="s">
        <v>1524</v>
      </c>
      <c r="M216" s="6">
        <v>100</v>
      </c>
      <c r="N216" s="6" t="s">
        <v>35</v>
      </c>
      <c r="O216" s="6" t="s">
        <v>1525</v>
      </c>
      <c r="P216" s="6" t="s">
        <v>37</v>
      </c>
      <c r="Q216" s="7">
        <v>204600</v>
      </c>
      <c r="R216" s="7">
        <v>0</v>
      </c>
      <c r="S216" s="7">
        <v>0</v>
      </c>
      <c r="T216" s="7">
        <f t="shared" si="3"/>
        <v>204600</v>
      </c>
      <c r="U216" s="6" t="s">
        <v>1271</v>
      </c>
      <c r="V216" s="6" t="s">
        <v>1493</v>
      </c>
      <c r="W216" s="7">
        <v>204600</v>
      </c>
      <c r="X216" s="7">
        <v>204600</v>
      </c>
      <c r="Y216" s="7">
        <v>204600</v>
      </c>
      <c r="Z216" s="7">
        <v>204600</v>
      </c>
      <c r="AA216" s="7">
        <v>204600</v>
      </c>
      <c r="AB216" s="6" t="s">
        <v>1273</v>
      </c>
    </row>
    <row r="217" spans="1:28">
      <c r="A217" s="8" t="s">
        <v>1526</v>
      </c>
      <c r="B217" s="9" t="s">
        <v>1178</v>
      </c>
      <c r="C217" s="10">
        <v>1218820</v>
      </c>
      <c r="D217" s="11">
        <v>127</v>
      </c>
      <c r="E217" s="6" t="s">
        <v>29</v>
      </c>
      <c r="F217" s="6">
        <v>2002</v>
      </c>
      <c r="G217" s="6" t="s">
        <v>1259</v>
      </c>
      <c r="H217" s="6" t="s">
        <v>1178</v>
      </c>
      <c r="I217" s="6" t="s">
        <v>1527</v>
      </c>
      <c r="J217" s="6" t="s">
        <v>1528</v>
      </c>
      <c r="K217" s="6" t="s">
        <v>1529</v>
      </c>
      <c r="L217" s="6" t="s">
        <v>1530</v>
      </c>
      <c r="M217" s="6">
        <v>100</v>
      </c>
      <c r="N217" s="6" t="s">
        <v>35</v>
      </c>
      <c r="O217" s="6" t="s">
        <v>1531</v>
      </c>
      <c r="P217" s="6" t="s">
        <v>37</v>
      </c>
      <c r="Q217" s="7">
        <v>232222</v>
      </c>
      <c r="R217" s="7">
        <v>0</v>
      </c>
      <c r="S217" s="7">
        <v>0</v>
      </c>
      <c r="T217" s="7">
        <f t="shared" si="3"/>
        <v>232222</v>
      </c>
      <c r="U217" s="6" t="s">
        <v>150</v>
      </c>
      <c r="V217" s="6" t="s">
        <v>1532</v>
      </c>
      <c r="W217" s="7">
        <v>232222</v>
      </c>
      <c r="X217" s="7">
        <v>232222</v>
      </c>
      <c r="Y217" s="7">
        <v>232222</v>
      </c>
      <c r="Z217" s="7">
        <v>232222</v>
      </c>
      <c r="AA217" s="7">
        <v>232222</v>
      </c>
      <c r="AB217" s="6" t="s">
        <v>1350</v>
      </c>
    </row>
    <row r="218" ht="26.4" customHeight="1" spans="1:28">
      <c r="A218" s="2" t="s">
        <v>1533</v>
      </c>
      <c r="B218" s="3" t="s">
        <v>1178</v>
      </c>
      <c r="C218" s="4">
        <v>1292727</v>
      </c>
      <c r="D218" s="5">
        <v>117</v>
      </c>
      <c r="E218" s="6" t="s">
        <v>29</v>
      </c>
      <c r="F218" s="6">
        <v>2012</v>
      </c>
      <c r="G218" s="6" t="s">
        <v>1512</v>
      </c>
      <c r="H218" s="6" t="s">
        <v>1178</v>
      </c>
      <c r="I218" s="6" t="s">
        <v>1534</v>
      </c>
      <c r="J218" s="6" t="s">
        <v>1535</v>
      </c>
      <c r="K218" s="6" t="s">
        <v>1536</v>
      </c>
      <c r="L218" s="6" t="s">
        <v>1537</v>
      </c>
      <c r="M218" s="6">
        <v>60</v>
      </c>
      <c r="N218" s="6" t="s">
        <v>35</v>
      </c>
      <c r="O218" s="6" t="s">
        <v>1538</v>
      </c>
      <c r="P218" s="6" t="s">
        <v>37</v>
      </c>
      <c r="Q218" s="7">
        <v>251300</v>
      </c>
      <c r="R218" s="7">
        <v>0</v>
      </c>
      <c r="S218" s="7">
        <v>0</v>
      </c>
      <c r="T218" s="7">
        <f t="shared" si="3"/>
        <v>251300</v>
      </c>
      <c r="U218" s="6" t="s">
        <v>1271</v>
      </c>
      <c r="V218" s="6" t="s">
        <v>1539</v>
      </c>
      <c r="W218" s="7">
        <v>251300</v>
      </c>
      <c r="X218" s="7">
        <v>251300</v>
      </c>
      <c r="Y218" s="7">
        <v>251300</v>
      </c>
      <c r="Z218" s="7">
        <v>251300</v>
      </c>
      <c r="AA218" s="7">
        <v>251300</v>
      </c>
      <c r="AB218" s="6" t="s">
        <v>1273</v>
      </c>
    </row>
    <row r="219" spans="1:28">
      <c r="A219" s="8" t="s">
        <v>1540</v>
      </c>
      <c r="B219" s="9" t="s">
        <v>1178</v>
      </c>
      <c r="C219" s="10">
        <v>1265436</v>
      </c>
      <c r="D219" s="11">
        <v>121</v>
      </c>
      <c r="E219" s="6" t="s">
        <v>29</v>
      </c>
      <c r="F219" s="6">
        <v>2016</v>
      </c>
      <c r="G219" s="6" t="s">
        <v>1512</v>
      </c>
      <c r="H219" s="6" t="s">
        <v>1178</v>
      </c>
      <c r="I219" s="6" t="s">
        <v>1541</v>
      </c>
      <c r="J219" s="6" t="s">
        <v>1542</v>
      </c>
      <c r="K219" s="6"/>
      <c r="L219" s="6" t="s">
        <v>1543</v>
      </c>
      <c r="M219" s="6">
        <v>60</v>
      </c>
      <c r="N219" s="6" t="s">
        <v>35</v>
      </c>
      <c r="O219" s="6" t="s">
        <v>1544</v>
      </c>
      <c r="P219" s="6" t="s">
        <v>37</v>
      </c>
      <c r="Q219" s="7">
        <v>204600</v>
      </c>
      <c r="R219" s="7">
        <v>0</v>
      </c>
      <c r="S219" s="7">
        <v>0</v>
      </c>
      <c r="T219" s="7">
        <f t="shared" si="3"/>
        <v>204600</v>
      </c>
      <c r="U219" s="6" t="s">
        <v>1545</v>
      </c>
      <c r="V219" s="6" t="s">
        <v>1546</v>
      </c>
      <c r="W219" s="7">
        <v>204600</v>
      </c>
      <c r="X219" s="7">
        <v>204600</v>
      </c>
      <c r="Y219" s="7">
        <v>204600</v>
      </c>
      <c r="Z219" s="7">
        <v>204600</v>
      </c>
      <c r="AA219" s="7">
        <v>204600</v>
      </c>
      <c r="AB219" s="6" t="s">
        <v>1547</v>
      </c>
    </row>
    <row r="220" spans="1:28">
      <c r="A220" s="2" t="s">
        <v>1548</v>
      </c>
      <c r="B220" s="3" t="s">
        <v>1178</v>
      </c>
      <c r="C220" s="4">
        <v>1259353</v>
      </c>
      <c r="D220" s="5">
        <v>121</v>
      </c>
      <c r="E220" s="6" t="s">
        <v>29</v>
      </c>
      <c r="F220" s="6">
        <v>2016</v>
      </c>
      <c r="G220" s="6" t="s">
        <v>1549</v>
      </c>
      <c r="H220" s="6" t="s">
        <v>1178</v>
      </c>
      <c r="I220" s="6" t="s">
        <v>1550</v>
      </c>
      <c r="J220" s="6" t="s">
        <v>779</v>
      </c>
      <c r="K220" s="6" t="s">
        <v>1551</v>
      </c>
      <c r="L220" s="6" t="s">
        <v>1552</v>
      </c>
      <c r="M220" s="6">
        <v>100</v>
      </c>
      <c r="N220" s="6" t="s">
        <v>35</v>
      </c>
      <c r="O220" s="6" t="s">
        <v>1553</v>
      </c>
      <c r="P220" s="6" t="s">
        <v>37</v>
      </c>
      <c r="Q220" s="7">
        <v>185000</v>
      </c>
      <c r="R220" s="7">
        <v>0</v>
      </c>
      <c r="S220" s="7">
        <v>0</v>
      </c>
      <c r="T220" s="7">
        <f t="shared" si="3"/>
        <v>185000</v>
      </c>
      <c r="U220" s="6" t="s">
        <v>1545</v>
      </c>
      <c r="V220" s="6" t="s">
        <v>1554</v>
      </c>
      <c r="W220" s="7">
        <v>185000</v>
      </c>
      <c r="X220" s="7">
        <v>185000</v>
      </c>
      <c r="Y220" s="7">
        <v>185000</v>
      </c>
      <c r="Z220" s="7">
        <v>185000</v>
      </c>
      <c r="AA220" s="7">
        <v>185000</v>
      </c>
      <c r="AB220" s="6" t="s">
        <v>1555</v>
      </c>
    </row>
    <row r="221" spans="1:28">
      <c r="A221" s="8" t="s">
        <v>1556</v>
      </c>
      <c r="B221" s="9" t="s">
        <v>1178</v>
      </c>
      <c r="C221" s="10">
        <v>1219220</v>
      </c>
      <c r="D221" s="11">
        <v>127</v>
      </c>
      <c r="E221" s="6" t="s">
        <v>29</v>
      </c>
      <c r="F221" s="6">
        <v>2008</v>
      </c>
      <c r="G221" s="6" t="s">
        <v>1235</v>
      </c>
      <c r="H221" s="6" t="s">
        <v>1178</v>
      </c>
      <c r="I221" s="6" t="s">
        <v>1557</v>
      </c>
      <c r="J221" s="6" t="s">
        <v>1558</v>
      </c>
      <c r="K221" s="6" t="s">
        <v>1559</v>
      </c>
      <c r="L221" s="6" t="s">
        <v>1560</v>
      </c>
      <c r="M221" s="6">
        <v>60</v>
      </c>
      <c r="N221" s="6" t="s">
        <v>35</v>
      </c>
      <c r="O221" s="6" t="s">
        <v>1561</v>
      </c>
      <c r="P221" s="6" t="s">
        <v>37</v>
      </c>
      <c r="Q221" s="7">
        <v>204600</v>
      </c>
      <c r="R221" s="7">
        <v>0</v>
      </c>
      <c r="S221" s="7">
        <v>0</v>
      </c>
      <c r="T221" s="7">
        <f t="shared" si="3"/>
        <v>204600</v>
      </c>
      <c r="U221" s="6" t="s">
        <v>1545</v>
      </c>
      <c r="V221" s="6" t="s">
        <v>1562</v>
      </c>
      <c r="W221" s="7">
        <v>204600</v>
      </c>
      <c r="X221" s="7">
        <v>204600</v>
      </c>
      <c r="Y221" s="7">
        <v>204600</v>
      </c>
      <c r="Z221" s="7">
        <v>204600</v>
      </c>
      <c r="AA221" s="7">
        <v>204600</v>
      </c>
      <c r="AB221" s="6" t="s">
        <v>1555</v>
      </c>
    </row>
    <row r="222" spans="1:28">
      <c r="A222" s="2" t="s">
        <v>1563</v>
      </c>
      <c r="B222" s="3" t="s">
        <v>1178</v>
      </c>
      <c r="C222" s="4">
        <v>1292750</v>
      </c>
      <c r="D222" s="5">
        <v>117</v>
      </c>
      <c r="E222" s="6" t="s">
        <v>29</v>
      </c>
      <c r="F222" s="6"/>
      <c r="G222" s="6" t="s">
        <v>1564</v>
      </c>
      <c r="H222" s="6" t="s">
        <v>1178</v>
      </c>
      <c r="I222" s="6" t="s">
        <v>1565</v>
      </c>
      <c r="J222" s="6" t="s">
        <v>1566</v>
      </c>
      <c r="K222" s="6" t="s">
        <v>1567</v>
      </c>
      <c r="L222" s="6" t="s">
        <v>1568</v>
      </c>
      <c r="M222" s="6">
        <v>60</v>
      </c>
      <c r="N222" s="6" t="s">
        <v>35</v>
      </c>
      <c r="O222" s="6" t="s">
        <v>1569</v>
      </c>
      <c r="P222" s="6" t="s">
        <v>37</v>
      </c>
      <c r="Q222" s="7">
        <v>204600</v>
      </c>
      <c r="R222" s="7">
        <v>0</v>
      </c>
      <c r="S222" s="7">
        <v>0</v>
      </c>
      <c r="T222" s="7">
        <f t="shared" si="3"/>
        <v>204600</v>
      </c>
      <c r="U222" s="6" t="s">
        <v>1545</v>
      </c>
      <c r="V222" s="6" t="s">
        <v>1562</v>
      </c>
      <c r="W222" s="7">
        <v>204600</v>
      </c>
      <c r="X222" s="7">
        <v>204600</v>
      </c>
      <c r="Y222" s="7">
        <v>204600</v>
      </c>
      <c r="Z222" s="7">
        <v>204600</v>
      </c>
      <c r="AA222" s="7">
        <v>204600</v>
      </c>
      <c r="AB222" s="6" t="s">
        <v>1555</v>
      </c>
    </row>
    <row r="223" spans="1:28">
      <c r="A223" s="8" t="s">
        <v>1570</v>
      </c>
      <c r="B223" s="9" t="s">
        <v>1178</v>
      </c>
      <c r="C223" s="10">
        <v>1213988</v>
      </c>
      <c r="D223" s="11">
        <v>127</v>
      </c>
      <c r="E223" s="6" t="s">
        <v>29</v>
      </c>
      <c r="F223" s="6">
        <v>1969</v>
      </c>
      <c r="G223" s="6" t="s">
        <v>1200</v>
      </c>
      <c r="H223" s="6" t="s">
        <v>1178</v>
      </c>
      <c r="I223" s="6" t="s">
        <v>1571</v>
      </c>
      <c r="J223" s="6" t="s">
        <v>1572</v>
      </c>
      <c r="K223" s="6" t="s">
        <v>1573</v>
      </c>
      <c r="L223" s="6" t="s">
        <v>1574</v>
      </c>
      <c r="M223" s="6">
        <v>100</v>
      </c>
      <c r="N223" s="6" t="s">
        <v>35</v>
      </c>
      <c r="O223" s="6" t="s">
        <v>1575</v>
      </c>
      <c r="P223" s="6" t="s">
        <v>37</v>
      </c>
      <c r="Q223" s="7">
        <v>252400</v>
      </c>
      <c r="R223" s="7">
        <v>0</v>
      </c>
      <c r="S223" s="7">
        <v>0</v>
      </c>
      <c r="T223" s="7">
        <f t="shared" si="3"/>
        <v>252400</v>
      </c>
      <c r="U223" s="6" t="s">
        <v>1545</v>
      </c>
      <c r="V223" s="6" t="s">
        <v>1576</v>
      </c>
      <c r="W223" s="7">
        <v>252400</v>
      </c>
      <c r="X223" s="7">
        <v>252400</v>
      </c>
      <c r="Y223" s="7">
        <v>252400</v>
      </c>
      <c r="Z223" s="7">
        <v>252400</v>
      </c>
      <c r="AA223" s="7">
        <v>252400</v>
      </c>
      <c r="AB223" s="6" t="s">
        <v>1555</v>
      </c>
    </row>
    <row r="224" spans="1:28">
      <c r="A224" s="2" t="s">
        <v>1577</v>
      </c>
      <c r="B224" s="3" t="s">
        <v>1178</v>
      </c>
      <c r="C224" s="4">
        <v>1270386</v>
      </c>
      <c r="D224" s="5">
        <v>120</v>
      </c>
      <c r="E224" s="6" t="s">
        <v>29</v>
      </c>
      <c r="F224" s="6">
        <v>2016</v>
      </c>
      <c r="G224" s="6" t="s">
        <v>1578</v>
      </c>
      <c r="H224" s="6" t="s">
        <v>1178</v>
      </c>
      <c r="I224" s="6" t="s">
        <v>1579</v>
      </c>
      <c r="J224" s="6"/>
      <c r="K224" s="6"/>
      <c r="L224" s="6" t="s">
        <v>1580</v>
      </c>
      <c r="M224" s="6">
        <v>60</v>
      </c>
      <c r="N224" s="6" t="s">
        <v>35</v>
      </c>
      <c r="O224" s="6" t="s">
        <v>1581</v>
      </c>
      <c r="P224" s="6"/>
      <c r="Q224" s="7">
        <v>260500</v>
      </c>
      <c r="R224" s="7">
        <v>0</v>
      </c>
      <c r="S224" s="7">
        <v>0</v>
      </c>
      <c r="T224" s="7">
        <f t="shared" si="3"/>
        <v>260500</v>
      </c>
      <c r="U224" s="6" t="s">
        <v>1545</v>
      </c>
      <c r="V224" s="6" t="s">
        <v>1582</v>
      </c>
      <c r="W224" s="7">
        <v>260500</v>
      </c>
      <c r="X224" s="7">
        <v>260500</v>
      </c>
      <c r="Y224" s="7">
        <v>260500</v>
      </c>
      <c r="Z224" s="7">
        <v>260500</v>
      </c>
      <c r="AA224" s="7">
        <v>260500</v>
      </c>
      <c r="AB224" s="6" t="s">
        <v>1555</v>
      </c>
    </row>
    <row r="225" spans="1:28">
      <c r="A225" s="8" t="s">
        <v>1583</v>
      </c>
      <c r="B225" s="9" t="s">
        <v>1178</v>
      </c>
      <c r="C225" s="10">
        <v>1316832</v>
      </c>
      <c r="D225" s="11">
        <v>114</v>
      </c>
      <c r="E225" s="6" t="s">
        <v>29</v>
      </c>
      <c r="F225" s="6"/>
      <c r="G225" s="6" t="s">
        <v>1372</v>
      </c>
      <c r="H225" s="6" t="s">
        <v>1178</v>
      </c>
      <c r="I225" s="6" t="s">
        <v>1584</v>
      </c>
      <c r="J225" s="6" t="s">
        <v>1585</v>
      </c>
      <c r="K225" s="6" t="s">
        <v>1586</v>
      </c>
      <c r="L225" s="6" t="s">
        <v>1587</v>
      </c>
      <c r="M225" s="6">
        <v>60</v>
      </c>
      <c r="N225" s="6" t="s">
        <v>35</v>
      </c>
      <c r="O225" s="6" t="s">
        <v>1588</v>
      </c>
      <c r="P225" s="6" t="s">
        <v>37</v>
      </c>
      <c r="Q225" s="7">
        <v>204600</v>
      </c>
      <c r="R225" s="7">
        <v>0</v>
      </c>
      <c r="S225" s="7">
        <v>0</v>
      </c>
      <c r="T225" s="7">
        <f t="shared" si="3"/>
        <v>204600</v>
      </c>
      <c r="U225" s="6" t="s">
        <v>1545</v>
      </c>
      <c r="V225" s="6" t="s">
        <v>1562</v>
      </c>
      <c r="W225" s="7">
        <v>204600</v>
      </c>
      <c r="X225" s="7">
        <v>204600</v>
      </c>
      <c r="Y225" s="7">
        <v>204600</v>
      </c>
      <c r="Z225" s="7">
        <v>204600</v>
      </c>
      <c r="AA225" s="7">
        <v>204600</v>
      </c>
      <c r="AB225" s="6" t="s">
        <v>1555</v>
      </c>
    </row>
    <row r="226" spans="1:28">
      <c r="A226" s="2" t="s">
        <v>1589</v>
      </c>
      <c r="B226" s="3" t="s">
        <v>1178</v>
      </c>
      <c r="C226" s="4">
        <v>1269591</v>
      </c>
      <c r="D226" s="5">
        <v>120</v>
      </c>
      <c r="E226" s="6" t="s">
        <v>29</v>
      </c>
      <c r="F226" s="6">
        <v>2002</v>
      </c>
      <c r="G226" s="6" t="s">
        <v>1590</v>
      </c>
      <c r="H226" s="6" t="s">
        <v>1178</v>
      </c>
      <c r="I226" s="6" t="s">
        <v>1591</v>
      </c>
      <c r="J226" s="6" t="s">
        <v>779</v>
      </c>
      <c r="K226" s="6"/>
      <c r="L226" s="6" t="s">
        <v>1592</v>
      </c>
      <c r="M226" s="6">
        <v>100</v>
      </c>
      <c r="N226" s="6" t="s">
        <v>35</v>
      </c>
      <c r="O226" s="6" t="s">
        <v>1593</v>
      </c>
      <c r="P226" s="6" t="s">
        <v>37</v>
      </c>
      <c r="Q226" s="7">
        <v>259100</v>
      </c>
      <c r="R226" s="7">
        <v>0</v>
      </c>
      <c r="S226" s="7">
        <v>0</v>
      </c>
      <c r="T226" s="7">
        <f t="shared" si="3"/>
        <v>259100</v>
      </c>
      <c r="U226" s="6" t="s">
        <v>1545</v>
      </c>
      <c r="V226" s="6" t="s">
        <v>1594</v>
      </c>
      <c r="W226" s="7">
        <v>259100</v>
      </c>
      <c r="X226" s="7">
        <v>259100</v>
      </c>
      <c r="Y226" s="7">
        <v>259100</v>
      </c>
      <c r="Z226" s="7">
        <v>259100</v>
      </c>
      <c r="AA226" s="7">
        <v>259100</v>
      </c>
      <c r="AB226" s="6" t="s">
        <v>1555</v>
      </c>
    </row>
    <row r="227" spans="1:28">
      <c r="A227" s="8" t="s">
        <v>1595</v>
      </c>
      <c r="B227" s="9" t="s">
        <v>1178</v>
      </c>
      <c r="C227" s="10">
        <v>1224070</v>
      </c>
      <c r="D227" s="11">
        <v>126</v>
      </c>
      <c r="E227" s="6" t="s">
        <v>29</v>
      </c>
      <c r="F227" s="6">
        <v>2013</v>
      </c>
      <c r="G227" s="6" t="s">
        <v>1596</v>
      </c>
      <c r="H227" s="6" t="s">
        <v>1178</v>
      </c>
      <c r="I227" s="6" t="s">
        <v>1597</v>
      </c>
      <c r="J227" s="6" t="s">
        <v>1598</v>
      </c>
      <c r="K227" s="6" t="s">
        <v>1599</v>
      </c>
      <c r="L227" s="6" t="s">
        <v>1600</v>
      </c>
      <c r="M227" s="6"/>
      <c r="N227" s="6" t="s">
        <v>35</v>
      </c>
      <c r="O227" s="6" t="s">
        <v>1601</v>
      </c>
      <c r="P227" s="6"/>
      <c r="Q227" s="7">
        <v>225800</v>
      </c>
      <c r="R227" s="7">
        <v>0</v>
      </c>
      <c r="S227" s="7">
        <v>0</v>
      </c>
      <c r="T227" s="7">
        <f t="shared" si="3"/>
        <v>225800</v>
      </c>
      <c r="U227" s="6" t="s">
        <v>1545</v>
      </c>
      <c r="V227" s="6" t="s">
        <v>1602</v>
      </c>
      <c r="W227" s="7">
        <v>225800</v>
      </c>
      <c r="X227" s="7">
        <v>225800</v>
      </c>
      <c r="Y227" s="7">
        <v>225800</v>
      </c>
      <c r="Z227" s="7">
        <v>225800</v>
      </c>
      <c r="AA227" s="7">
        <v>225800</v>
      </c>
      <c r="AB227" s="6" t="s">
        <v>1555</v>
      </c>
    </row>
    <row r="228" spans="1:28">
      <c r="A228" s="2" t="s">
        <v>1603</v>
      </c>
      <c r="B228" s="3" t="s">
        <v>1178</v>
      </c>
      <c r="C228" s="4">
        <v>1221788</v>
      </c>
      <c r="D228" s="5">
        <v>126</v>
      </c>
      <c r="E228" s="6" t="s">
        <v>29</v>
      </c>
      <c r="F228" s="6">
        <v>2002</v>
      </c>
      <c r="G228" s="6" t="s">
        <v>1200</v>
      </c>
      <c r="H228" s="6" t="s">
        <v>1178</v>
      </c>
      <c r="I228" s="6" t="s">
        <v>1604</v>
      </c>
      <c r="J228" s="6" t="s">
        <v>1605</v>
      </c>
      <c r="K228" s="6" t="s">
        <v>1606</v>
      </c>
      <c r="L228" s="6" t="s">
        <v>1607</v>
      </c>
      <c r="M228" s="6">
        <v>60</v>
      </c>
      <c r="N228" s="6" t="s">
        <v>35</v>
      </c>
      <c r="O228" s="6" t="s">
        <v>1608</v>
      </c>
      <c r="P228" s="6"/>
      <c r="Q228" s="7">
        <v>248900</v>
      </c>
      <c r="R228" s="7">
        <v>0</v>
      </c>
      <c r="S228" s="7">
        <v>0</v>
      </c>
      <c r="T228" s="7">
        <f t="shared" si="3"/>
        <v>248900</v>
      </c>
      <c r="U228" s="6" t="s">
        <v>1545</v>
      </c>
      <c r="V228" s="6" t="s">
        <v>1609</v>
      </c>
      <c r="W228" s="7">
        <v>248900</v>
      </c>
      <c r="X228" s="7">
        <v>248900</v>
      </c>
      <c r="Y228" s="7">
        <v>248900</v>
      </c>
      <c r="Z228" s="7">
        <v>248900</v>
      </c>
      <c r="AA228" s="7">
        <v>248900</v>
      </c>
      <c r="AB228" s="6" t="s">
        <v>1555</v>
      </c>
    </row>
    <row r="229" spans="1:28">
      <c r="A229" s="8" t="s">
        <v>1610</v>
      </c>
      <c r="B229" s="9" t="s">
        <v>1178</v>
      </c>
      <c r="C229" s="10">
        <v>1148303</v>
      </c>
      <c r="D229" s="11">
        <v>137</v>
      </c>
      <c r="E229" s="6" t="s">
        <v>29</v>
      </c>
      <c r="F229" s="6">
        <v>2017</v>
      </c>
      <c r="G229" s="6" t="s">
        <v>1549</v>
      </c>
      <c r="H229" s="6" t="s">
        <v>1178</v>
      </c>
      <c r="I229" s="6" t="s">
        <v>1611</v>
      </c>
      <c r="J229" s="6" t="s">
        <v>779</v>
      </c>
      <c r="K229" s="6" t="s">
        <v>1612</v>
      </c>
      <c r="L229" s="6" t="s">
        <v>1613</v>
      </c>
      <c r="M229" s="6">
        <v>100</v>
      </c>
      <c r="N229" s="6" t="s">
        <v>35</v>
      </c>
      <c r="O229" s="6" t="s">
        <v>1614</v>
      </c>
      <c r="P229" s="6" t="s">
        <v>37</v>
      </c>
      <c r="Q229" s="7">
        <v>249300</v>
      </c>
      <c r="R229" s="7">
        <v>0</v>
      </c>
      <c r="S229" s="7">
        <v>0</v>
      </c>
      <c r="T229" s="7">
        <f t="shared" si="3"/>
        <v>249300</v>
      </c>
      <c r="U229" s="6" t="s">
        <v>1545</v>
      </c>
      <c r="V229" s="6" t="s">
        <v>1615</v>
      </c>
      <c r="W229" s="7">
        <v>249300</v>
      </c>
      <c r="X229" s="7">
        <v>249300</v>
      </c>
      <c r="Y229" s="7">
        <v>249300</v>
      </c>
      <c r="Z229" s="7">
        <v>249300</v>
      </c>
      <c r="AA229" s="7">
        <v>249300</v>
      </c>
      <c r="AB229" s="6" t="s">
        <v>1616</v>
      </c>
    </row>
    <row r="230" spans="1:28">
      <c r="A230" s="2" t="s">
        <v>1617</v>
      </c>
      <c r="B230" s="3" t="s">
        <v>1178</v>
      </c>
      <c r="C230" s="4">
        <v>1262365</v>
      </c>
      <c r="D230" s="5">
        <v>121</v>
      </c>
      <c r="E230" s="6" t="s">
        <v>29</v>
      </c>
      <c r="F230" s="6">
        <v>2013</v>
      </c>
      <c r="G230" s="6" t="s">
        <v>1246</v>
      </c>
      <c r="H230" s="6" t="s">
        <v>1178</v>
      </c>
      <c r="I230" s="6" t="s">
        <v>1618</v>
      </c>
      <c r="J230" s="6" t="s">
        <v>1619</v>
      </c>
      <c r="K230" s="6" t="s">
        <v>1620</v>
      </c>
      <c r="L230" s="6" t="s">
        <v>1621</v>
      </c>
      <c r="M230" s="6">
        <v>100</v>
      </c>
      <c r="N230" s="6" t="s">
        <v>35</v>
      </c>
      <c r="O230" s="6" t="s">
        <v>1622</v>
      </c>
      <c r="P230" s="6" t="s">
        <v>37</v>
      </c>
      <c r="Q230" s="7">
        <v>204600</v>
      </c>
      <c r="R230" s="7">
        <v>0</v>
      </c>
      <c r="S230" s="7">
        <v>0</v>
      </c>
      <c r="T230" s="7">
        <f t="shared" si="3"/>
        <v>204600</v>
      </c>
      <c r="U230" s="6" t="s">
        <v>1545</v>
      </c>
      <c r="V230" s="6" t="s">
        <v>1623</v>
      </c>
      <c r="W230" s="7">
        <v>204600</v>
      </c>
      <c r="X230" s="7">
        <v>204600</v>
      </c>
      <c r="Y230" s="7">
        <v>204600</v>
      </c>
      <c r="Z230" s="7">
        <v>204600</v>
      </c>
      <c r="AA230" s="7">
        <v>204600</v>
      </c>
      <c r="AB230" s="6" t="s">
        <v>1555</v>
      </c>
    </row>
    <row r="231" ht="26.4" customHeight="1" spans="1:28">
      <c r="A231" s="8" t="s">
        <v>1624</v>
      </c>
      <c r="B231" s="9" t="s">
        <v>1178</v>
      </c>
      <c r="C231" s="10">
        <v>1306399</v>
      </c>
      <c r="D231" s="11">
        <v>115</v>
      </c>
      <c r="E231" s="6" t="s">
        <v>29</v>
      </c>
      <c r="F231" s="6">
        <v>2004</v>
      </c>
      <c r="G231" s="6" t="s">
        <v>1223</v>
      </c>
      <c r="H231" s="6" t="s">
        <v>1178</v>
      </c>
      <c r="I231" s="6" t="s">
        <v>1625</v>
      </c>
      <c r="J231" s="6" t="s">
        <v>1626</v>
      </c>
      <c r="K231" s="6" t="s">
        <v>1627</v>
      </c>
      <c r="L231" s="6" t="s">
        <v>1628</v>
      </c>
      <c r="M231" s="6">
        <v>100</v>
      </c>
      <c r="N231" s="6" t="s">
        <v>35</v>
      </c>
      <c r="O231" s="6" t="s">
        <v>1629</v>
      </c>
      <c r="P231" s="6" t="s">
        <v>37</v>
      </c>
      <c r="Q231" s="7">
        <v>286000</v>
      </c>
      <c r="R231" s="7">
        <v>0</v>
      </c>
      <c r="S231" s="7">
        <v>0</v>
      </c>
      <c r="T231" s="7">
        <f t="shared" si="3"/>
        <v>286000</v>
      </c>
      <c r="U231" s="6" t="s">
        <v>1545</v>
      </c>
      <c r="V231" s="6" t="s">
        <v>1630</v>
      </c>
      <c r="W231" s="7">
        <v>286000</v>
      </c>
      <c r="X231" s="7">
        <v>286000</v>
      </c>
      <c r="Y231" s="7">
        <v>286000</v>
      </c>
      <c r="Z231" s="7">
        <v>286000</v>
      </c>
      <c r="AA231" s="7">
        <v>286000</v>
      </c>
      <c r="AB231" s="6" t="s">
        <v>1555</v>
      </c>
    </row>
    <row r="232" spans="1:28">
      <c r="A232" s="2" t="s">
        <v>1631</v>
      </c>
      <c r="B232" s="3" t="s">
        <v>1178</v>
      </c>
      <c r="C232" s="4">
        <v>1295408</v>
      </c>
      <c r="D232" s="5">
        <v>116</v>
      </c>
      <c r="E232" s="6" t="s">
        <v>29</v>
      </c>
      <c r="F232" s="6">
        <v>2016</v>
      </c>
      <c r="G232" s="6" t="s">
        <v>1632</v>
      </c>
      <c r="H232" s="6" t="s">
        <v>1178</v>
      </c>
      <c r="I232" s="6" t="s">
        <v>1633</v>
      </c>
      <c r="J232" s="6" t="s">
        <v>1634</v>
      </c>
      <c r="K232" s="6" t="s">
        <v>1635</v>
      </c>
      <c r="L232" s="6" t="s">
        <v>1636</v>
      </c>
      <c r="M232" s="6">
        <v>100</v>
      </c>
      <c r="N232" s="6" t="s">
        <v>35</v>
      </c>
      <c r="O232" s="6" t="s">
        <v>1637</v>
      </c>
      <c r="P232" s="6" t="s">
        <v>37</v>
      </c>
      <c r="Q232" s="7">
        <v>204600</v>
      </c>
      <c r="R232" s="7">
        <v>0</v>
      </c>
      <c r="S232" s="7">
        <v>0</v>
      </c>
      <c r="T232" s="7">
        <f t="shared" si="3"/>
        <v>204600</v>
      </c>
      <c r="U232" s="6" t="s">
        <v>1545</v>
      </c>
      <c r="V232" s="6" t="s">
        <v>1562</v>
      </c>
      <c r="W232" s="7">
        <v>204600</v>
      </c>
      <c r="X232" s="7">
        <v>204600</v>
      </c>
      <c r="Y232" s="7">
        <v>204600</v>
      </c>
      <c r="Z232" s="7">
        <v>204600</v>
      </c>
      <c r="AA232" s="7">
        <v>204600</v>
      </c>
      <c r="AB232" s="6" t="s">
        <v>1555</v>
      </c>
    </row>
    <row r="233" spans="1:28">
      <c r="A233" s="8" t="s">
        <v>1638</v>
      </c>
      <c r="B233" s="9" t="s">
        <v>1178</v>
      </c>
      <c r="C233" s="10">
        <v>1214421</v>
      </c>
      <c r="D233" s="11">
        <v>127</v>
      </c>
      <c r="E233" s="6" t="s">
        <v>29</v>
      </c>
      <c r="F233" s="6">
        <v>2023</v>
      </c>
      <c r="G233" s="6" t="s">
        <v>1639</v>
      </c>
      <c r="H233" s="6" t="s">
        <v>1178</v>
      </c>
      <c r="I233" s="6" t="s">
        <v>1640</v>
      </c>
      <c r="J233" s="6"/>
      <c r="K233" s="6"/>
      <c r="L233" s="6"/>
      <c r="M233" s="6">
        <v>60</v>
      </c>
      <c r="N233" s="6" t="s">
        <v>35</v>
      </c>
      <c r="O233" s="6" t="s">
        <v>1641</v>
      </c>
      <c r="P233" s="6" t="s">
        <v>37</v>
      </c>
      <c r="Q233" s="7">
        <v>204600</v>
      </c>
      <c r="R233" s="7">
        <v>0</v>
      </c>
      <c r="S233" s="7">
        <v>0</v>
      </c>
      <c r="T233" s="7">
        <f t="shared" si="3"/>
        <v>204600</v>
      </c>
      <c r="U233" s="6" t="s">
        <v>1545</v>
      </c>
      <c r="V233" s="6" t="s">
        <v>1562</v>
      </c>
      <c r="W233" s="7">
        <v>204600</v>
      </c>
      <c r="X233" s="7">
        <v>204600</v>
      </c>
      <c r="Y233" s="7">
        <v>204600</v>
      </c>
      <c r="Z233" s="7">
        <v>204600</v>
      </c>
      <c r="AA233" s="7">
        <v>204600</v>
      </c>
      <c r="AB233" s="6" t="s">
        <v>1555</v>
      </c>
    </row>
    <row r="234" ht="26.4" customHeight="1" spans="1:28">
      <c r="A234" s="2" t="s">
        <v>1642</v>
      </c>
      <c r="B234" s="3" t="s">
        <v>1178</v>
      </c>
      <c r="C234" s="4">
        <v>1289146</v>
      </c>
      <c r="D234" s="5">
        <v>117</v>
      </c>
      <c r="E234" s="6" t="s">
        <v>29</v>
      </c>
      <c r="F234" s="6"/>
      <c r="G234" s="6" t="s">
        <v>1235</v>
      </c>
      <c r="H234" s="6" t="s">
        <v>1178</v>
      </c>
      <c r="I234" s="6" t="s">
        <v>1643</v>
      </c>
      <c r="J234" s="6" t="s">
        <v>1644</v>
      </c>
      <c r="K234" s="6" t="s">
        <v>1645</v>
      </c>
      <c r="L234" s="6" t="s">
        <v>1646</v>
      </c>
      <c r="M234" s="6"/>
      <c r="N234" s="6" t="s">
        <v>35</v>
      </c>
      <c r="O234" s="6" t="s">
        <v>1647</v>
      </c>
      <c r="P234" s="6"/>
      <c r="Q234" s="7">
        <v>204600</v>
      </c>
      <c r="R234" s="7">
        <v>0</v>
      </c>
      <c r="S234" s="7">
        <v>0</v>
      </c>
      <c r="T234" s="7">
        <f t="shared" si="3"/>
        <v>204600</v>
      </c>
      <c r="U234" s="6" t="s">
        <v>1545</v>
      </c>
      <c r="V234" s="6" t="s">
        <v>1562</v>
      </c>
      <c r="W234" s="7">
        <v>204600</v>
      </c>
      <c r="X234" s="7">
        <v>204600</v>
      </c>
      <c r="Y234" s="7">
        <v>204600</v>
      </c>
      <c r="Z234" s="7">
        <v>204600</v>
      </c>
      <c r="AA234" s="7">
        <v>204600</v>
      </c>
      <c r="AB234" s="6" t="s">
        <v>1648</v>
      </c>
    </row>
    <row r="235" ht="26.4" customHeight="1" spans="1:28">
      <c r="A235" s="8" t="s">
        <v>1649</v>
      </c>
      <c r="B235" s="9" t="s">
        <v>1178</v>
      </c>
      <c r="C235" s="10">
        <v>1310013</v>
      </c>
      <c r="D235" s="11">
        <v>115</v>
      </c>
      <c r="E235" s="6" t="s">
        <v>29</v>
      </c>
      <c r="F235" s="6">
        <v>2021</v>
      </c>
      <c r="G235" s="6" t="s">
        <v>1235</v>
      </c>
      <c r="H235" s="6" t="s">
        <v>1178</v>
      </c>
      <c r="I235" s="6" t="s">
        <v>1650</v>
      </c>
      <c r="J235" s="6" t="s">
        <v>1644</v>
      </c>
      <c r="K235" s="6" t="s">
        <v>1645</v>
      </c>
      <c r="L235" s="6" t="s">
        <v>1651</v>
      </c>
      <c r="M235" s="6">
        <v>60</v>
      </c>
      <c r="N235" s="6" t="s">
        <v>35</v>
      </c>
      <c r="O235" s="6" t="s">
        <v>1652</v>
      </c>
      <c r="P235" s="6"/>
      <c r="Q235" s="7"/>
      <c r="R235" s="7"/>
      <c r="S235" s="7"/>
      <c r="T235" s="7" t="str">
        <f t="shared" si="3"/>
        <v/>
      </c>
      <c r="U235" s="6" t="s">
        <v>1545</v>
      </c>
      <c r="V235" s="6" t="s">
        <v>1653</v>
      </c>
      <c r="W235" s="7"/>
      <c r="X235" s="7"/>
      <c r="Y235" s="7"/>
      <c r="Z235" s="7"/>
      <c r="AA235" s="7"/>
      <c r="AB235" s="6" t="s">
        <v>1042</v>
      </c>
    </row>
    <row r="236" spans="1:28">
      <c r="A236" s="2" t="s">
        <v>1654</v>
      </c>
      <c r="B236" s="3" t="s">
        <v>1178</v>
      </c>
      <c r="C236" s="4">
        <v>1197104</v>
      </c>
      <c r="D236" s="5">
        <v>130</v>
      </c>
      <c r="E236" s="6" t="s">
        <v>29</v>
      </c>
      <c r="F236" s="6">
        <v>2018</v>
      </c>
      <c r="G236" s="6" t="s">
        <v>1655</v>
      </c>
      <c r="H236" s="6" t="s">
        <v>1178</v>
      </c>
      <c r="I236" s="6" t="s">
        <v>1656</v>
      </c>
      <c r="J236" s="6" t="s">
        <v>1657</v>
      </c>
      <c r="K236" s="6" t="s">
        <v>1658</v>
      </c>
      <c r="L236" s="6" t="s">
        <v>1659</v>
      </c>
      <c r="M236" s="6"/>
      <c r="N236" s="6" t="s">
        <v>35</v>
      </c>
      <c r="O236" s="6" t="s">
        <v>1660</v>
      </c>
      <c r="P236" s="6"/>
      <c r="Q236" s="7">
        <v>204600</v>
      </c>
      <c r="R236" s="7">
        <v>0</v>
      </c>
      <c r="S236" s="7">
        <v>0</v>
      </c>
      <c r="T236" s="7">
        <f t="shared" si="3"/>
        <v>204600</v>
      </c>
      <c r="U236" s="6" t="s">
        <v>1545</v>
      </c>
      <c r="V236" s="6" t="s">
        <v>1562</v>
      </c>
      <c r="W236" s="7">
        <v>204600</v>
      </c>
      <c r="X236" s="7">
        <v>204600</v>
      </c>
      <c r="Y236" s="7">
        <v>204600</v>
      </c>
      <c r="Z236" s="7">
        <v>204600</v>
      </c>
      <c r="AA236" s="7">
        <v>204600</v>
      </c>
      <c r="AB236" s="6" t="s">
        <v>1555</v>
      </c>
    </row>
    <row r="237" spans="1:28">
      <c r="A237" s="8" t="s">
        <v>1661</v>
      </c>
      <c r="B237" s="9" t="s">
        <v>1178</v>
      </c>
      <c r="C237" s="10">
        <v>1239856</v>
      </c>
      <c r="D237" s="11">
        <v>124</v>
      </c>
      <c r="E237" s="6" t="s">
        <v>29</v>
      </c>
      <c r="F237" s="6">
        <v>2017</v>
      </c>
      <c r="G237" s="6" t="s">
        <v>1421</v>
      </c>
      <c r="H237" s="6" t="s">
        <v>1178</v>
      </c>
      <c r="I237" s="6" t="s">
        <v>1662</v>
      </c>
      <c r="J237" s="6" t="s">
        <v>1663</v>
      </c>
      <c r="K237" s="6" t="s">
        <v>1664</v>
      </c>
      <c r="L237" s="6" t="s">
        <v>1665</v>
      </c>
      <c r="M237" s="6">
        <v>100</v>
      </c>
      <c r="N237" s="6" t="s">
        <v>35</v>
      </c>
      <c r="O237" s="6" t="s">
        <v>1666</v>
      </c>
      <c r="P237" s="6" t="s">
        <v>37</v>
      </c>
      <c r="Q237" s="7"/>
      <c r="R237" s="7"/>
      <c r="S237" s="7"/>
      <c r="T237" s="7" t="str">
        <f t="shared" si="3"/>
        <v/>
      </c>
      <c r="U237" s="6" t="s">
        <v>1545</v>
      </c>
      <c r="V237" s="6" t="s">
        <v>1667</v>
      </c>
      <c r="W237" s="7"/>
      <c r="X237" s="7"/>
      <c r="Y237" s="7"/>
      <c r="Z237" s="7"/>
      <c r="AA237" s="7"/>
      <c r="AB237" s="6" t="s">
        <v>1042</v>
      </c>
    </row>
    <row r="238" spans="1:28">
      <c r="A238" s="2" t="s">
        <v>1668</v>
      </c>
      <c r="B238" s="3" t="s">
        <v>1178</v>
      </c>
      <c r="C238" s="4">
        <v>1279485</v>
      </c>
      <c r="D238" s="5">
        <v>119</v>
      </c>
      <c r="E238" s="6" t="s">
        <v>29</v>
      </c>
      <c r="F238" s="6">
        <v>2016</v>
      </c>
      <c r="G238" s="6" t="s">
        <v>1311</v>
      </c>
      <c r="H238" s="6" t="s">
        <v>1178</v>
      </c>
      <c r="I238" s="6" t="s">
        <v>1669</v>
      </c>
      <c r="J238" s="6" t="s">
        <v>1670</v>
      </c>
      <c r="K238" s="6" t="s">
        <v>1671</v>
      </c>
      <c r="L238" s="6" t="s">
        <v>1672</v>
      </c>
      <c r="M238" s="6">
        <v>100</v>
      </c>
      <c r="N238" s="6" t="s">
        <v>35</v>
      </c>
      <c r="O238" s="6" t="s">
        <v>1673</v>
      </c>
      <c r="P238" s="6" t="s">
        <v>37</v>
      </c>
      <c r="Q238" s="7">
        <v>250000</v>
      </c>
      <c r="R238" s="7">
        <v>0</v>
      </c>
      <c r="S238" s="7">
        <v>0</v>
      </c>
      <c r="T238" s="7">
        <f t="shared" si="3"/>
        <v>250000</v>
      </c>
      <c r="U238" s="6" t="s">
        <v>1545</v>
      </c>
      <c r="V238" s="6" t="s">
        <v>1674</v>
      </c>
      <c r="W238" s="7">
        <v>250000</v>
      </c>
      <c r="X238" s="7">
        <v>250000</v>
      </c>
      <c r="Y238" s="7">
        <v>250000</v>
      </c>
      <c r="Z238" s="7">
        <v>250000</v>
      </c>
      <c r="AA238" s="7">
        <v>250000</v>
      </c>
      <c r="AB238" s="6" t="s">
        <v>1555</v>
      </c>
    </row>
    <row r="239" spans="1:28">
      <c r="A239" s="8" t="s">
        <v>1675</v>
      </c>
      <c r="B239" s="9" t="s">
        <v>1178</v>
      </c>
      <c r="C239" s="10">
        <v>1302781</v>
      </c>
      <c r="D239" s="11">
        <v>116</v>
      </c>
      <c r="E239" s="6" t="s">
        <v>29</v>
      </c>
      <c r="F239" s="6">
        <v>2016</v>
      </c>
      <c r="G239" s="6" t="s">
        <v>1311</v>
      </c>
      <c r="H239" s="6" t="s">
        <v>1178</v>
      </c>
      <c r="I239" s="6" t="s">
        <v>1676</v>
      </c>
      <c r="J239" s="6" t="s">
        <v>1677</v>
      </c>
      <c r="K239" s="6"/>
      <c r="L239" s="6" t="s">
        <v>1678</v>
      </c>
      <c r="M239" s="6">
        <v>60</v>
      </c>
      <c r="N239" s="6" t="s">
        <v>35</v>
      </c>
      <c r="O239" s="6" t="s">
        <v>1679</v>
      </c>
      <c r="P239" s="6"/>
      <c r="Q239" s="7">
        <v>204600</v>
      </c>
      <c r="R239" s="7">
        <v>0</v>
      </c>
      <c r="S239" s="7">
        <v>0</v>
      </c>
      <c r="T239" s="7">
        <f t="shared" si="3"/>
        <v>204600</v>
      </c>
      <c r="U239" s="6" t="s">
        <v>1545</v>
      </c>
      <c r="V239" s="6" t="s">
        <v>1562</v>
      </c>
      <c r="W239" s="7">
        <v>204600</v>
      </c>
      <c r="X239" s="7">
        <v>204600</v>
      </c>
      <c r="Y239" s="7">
        <v>204600</v>
      </c>
      <c r="Z239" s="7">
        <v>204600</v>
      </c>
      <c r="AA239" s="7">
        <v>204600</v>
      </c>
      <c r="AB239" s="6" t="s">
        <v>1555</v>
      </c>
    </row>
  </sheetData>
  <autoFilter xmlns:etc="http://www.wps.cn/officeDocument/2017/etCustomData" ref="A1:D239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BAMS College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Radhesham</cp:lastModifiedBy>
  <dcterms:created xsi:type="dcterms:W3CDTF">2026-07-26T06:20:00Z</dcterms:created>
  <dcterms:modified xsi:type="dcterms:W3CDTF">2026-09-26T04:59:13Z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DA65439B70784F39AC874224748CC741_13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