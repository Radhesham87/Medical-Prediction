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eemed MBBS + BDS" sheetId="1" r:id="rId1"/>
  </sheets>
  <definedNames>
    <definedName name="_xlnm._FilterDatabase" localSheetId="0" hidden="1">'Deemed MBBS + BDS'!$A$1:$F$83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Claude</author>
  </authors>
  <commentList>
    <comment ref="S1" authorId="0">
      <text>
        <r>
          <rPr>
            <sz val="10"/>
            <rFont val="SimSun"/>
            <charset val="134"/>
          </rPr>
          <t>Annual fees in INR for the degree in the Degree column, deemed-university general (non-NRI) seat via MCC counselling (see Fee Quota Basis), most recent session found (mostly 2025-26). Hostel &amp; mess excluded. Total Annual Fee = Tuition + Development + Other (formula).</t>
        </r>
      </text>
    </comment>
    <comment ref="Y1" authorId="0">
      <text>
        <r>
          <rPr>
            <sz val="10"/>
            <rFont val="SimSun"/>
            <charset val="134"/>
          </rPr>
          <t>Annual fee payable at admission by a candidate of each category on that seat type. Scholarships reimbursed later are not deducted; MCC deemed counselling has no caste reservation. See "Category Fee Note".</t>
        </r>
      </text>
    </comment>
  </commentList>
</comments>
</file>

<file path=xl/sharedStrings.xml><?xml version="1.0" encoding="utf-8"?>
<sst xmlns="http://schemas.openxmlformats.org/spreadsheetml/2006/main" count="1326" uniqueCount="588">
  <si>
    <t>Degree</t>
  </si>
  <si>
    <t>Institute Name</t>
  </si>
  <si>
    <t>State</t>
  </si>
  <si>
    <t>Gen Rank</t>
  </si>
  <si>
    <t>Gen Score</t>
  </si>
  <si>
    <t>Update Status</t>
  </si>
  <si>
    <t>Type</t>
  </si>
  <si>
    <t>Established Year</t>
  </si>
  <si>
    <t>City</t>
  </si>
  <si>
    <t>Address</t>
  </si>
  <si>
    <t>Phone</t>
  </si>
  <si>
    <t>Email</t>
  </si>
  <si>
    <t>Website</t>
  </si>
  <si>
    <t>Total Seats</t>
  </si>
  <si>
    <t>Course Availables</t>
  </si>
  <si>
    <t>Facilities</t>
  </si>
  <si>
    <t>Hostel Available(Yes or No)</t>
  </si>
  <si>
    <t>Tuition Fee</t>
  </si>
  <si>
    <t>Development Fee</t>
  </si>
  <si>
    <t>Other Fees Total</t>
  </si>
  <si>
    <t>Total Annual Fee</t>
  </si>
  <si>
    <t>Fee Quota Basis</t>
  </si>
  <si>
    <t>Fee Source / Note</t>
  </si>
  <si>
    <t>Open Fee</t>
  </si>
  <si>
    <t>OBC Fee</t>
  </si>
  <si>
    <t>EWS Fee</t>
  </si>
  <si>
    <t>SC Fee</t>
  </si>
  <si>
    <t>ST Fee</t>
  </si>
  <si>
    <t>Category Fee Note</t>
  </si>
  <si>
    <t>MBBS</t>
  </si>
  <si>
    <t>Gitam Institute of Medical Sciences, Visakhapatnam</t>
  </si>
  <si>
    <t>Andhra Pradesh</t>
  </si>
  <si>
    <t>Updated</t>
  </si>
  <si>
    <t>Deemed University (Private)</t>
  </si>
  <si>
    <t>Visakhapatnam</t>
  </si>
  <si>
    <t>GIMSR Campus, Rushikonda, Visakhapatnam, Andhra Pradesh 530045</t>
  </si>
  <si>
    <t>https://programmes.gitam.edu/mbbs/</t>
  </si>
  <si>
    <t>Attached teaching hospital, library, labs, hostel</t>
  </si>
  <si>
    <t>Yes</t>
  </si>
  <si>
    <t>Deemed general (non-NRI) seat, MCC 2025-26</t>
  </si>
  <si>
    <t>Published tuition is Rs 25,37,000/yr for years 1-4 and Rs 12,70,000 for year 5 (internship year); no separate development/other-fee breakup found. NRI fee: USD 45,000/yr (yrs1-4), USD 22,500 (yr5). | Careers360/moksh16 aggregators citing GITAM fee notice - https://www.careers360.com/colleges/gitam-institute-of-medical-sciences-and-research-visakhapatnam</t>
  </si>
  <si>
    <t>MCC deemed/management-quota seats carry no caste-based reservation; fee identical across categories.</t>
  </si>
  <si>
    <t>Hamdard Institute of Medical Sciences and Research, New Delhi</t>
  </si>
  <si>
    <t>Delhi</t>
  </si>
  <si>
    <t>Deemed University (Minority)</t>
  </si>
  <si>
    <t>New Delhi</t>
  </si>
  <si>
    <t>Hamdard Nagar, New Delhi - 110062</t>
  </si>
  <si>
    <t>https://jamiahamdard.edu/himsr</t>
  </si>
  <si>
    <t>Attached HAHC Hospital, library, labs, hostel</t>
  </si>
  <si>
    <t>Only a total course fee of Rs 72,52,000 for 5.5 years was found; divided by 5.5 to get an annual estimate (~Rs 13,18,545). Some sources quote Rs 18-20 lakh/yr instead; figures are inconsistent across sources and should be confirmed with the university. | Careers360/Shiksha/StudentKhabri aggregators - https://www.careers360.com/colleges/hamdard-institute-of-medical-sciences-and-research-new-delhi</t>
  </si>
  <si>
    <t>Jamia Hamdard is a minority (Muslim) institution and reserves 50% seats for the minority quota per university policy; this affects admission eligibility, not the published fee, which is the same for all categories in the deemed/MCC counselling seats.</t>
  </si>
  <si>
    <t>Smt. B. K. Shah Medical Institute &amp; Research Centre, Sumandeep Vidyapeeth, Vadodara</t>
  </si>
  <si>
    <t>Gujarat</t>
  </si>
  <si>
    <t>Vadodara</t>
  </si>
  <si>
    <t>Pipariya, Waghodia Road, Ta. Waghodia, Vadodara, Gujarat 391760</t>
  </si>
  <si>
    <t>+91 89808 00123</t>
  </si>
  <si>
    <t>admission@sumandeepvidyapeethdu.edu.in</t>
  </si>
  <si>
    <t>https://sumandeepvidyapeethdu.edu.in/</t>
  </si>
  <si>
    <t>Attached Dhiraj Hospital, library, labs, hostel</t>
  </si>
  <si>
    <t>Deemed general (non-NRI)/management seat, MCC 2025-26</t>
  </si>
  <si>
    <t>Aggregator-reported management-quota fee is ~Rs 23 lakh/yr; regulated by Gujarat Fee Regulatory Committee. Could not verify official page due to site redirect. | Edufever/Shiksha aggregators - https://www.edufever.com/sbks-medical-instt-and-research-centre-vadodra/ ; official fee page (sumandeepvidyapeethdu.edu.in/public/fees-structure-mbbs) could not be fetched (redirect)</t>
  </si>
  <si>
    <t>No caste-based reservation in MCC deemed-university MBBS seats; fee same for all categories.</t>
  </si>
  <si>
    <t>Maharishi Markandeshwar Institute Medical and Research, Mullana</t>
  </si>
  <si>
    <t>Haryana</t>
  </si>
  <si>
    <t>Mullana</t>
  </si>
  <si>
    <t>Maharishi Markandeshwar University, Mullana, Ambala, Haryana 133207</t>
  </si>
  <si>
    <t>https://mmimsr.mmumullana.org/</t>
  </si>
  <si>
    <t>Attached MMIMSR teaching hospital, library, labs, hostel</t>
  </si>
  <si>
    <t>Annual tuition reported as Rs 17,65,000 with ~10% annual increase over the 4.5-year program; hostel (twin-sharing AC with mess) separately Rs 2,50,000/yr (excluded per instructions). | moksh16/mbbscouncil aggregators; official PDF https://mmimsr.mmumullana.org/downloads/Information-for-MBBS-2025-26.pdf (not fully extracted)</t>
  </si>
  <si>
    <t>Amrita School of Medicine Faridabad, Faridabad</t>
  </si>
  <si>
    <t>Faridabad</t>
  </si>
  <si>
    <t>Amrita School of Medicine, Amrita Vishwa Vidyapeetham, Mata Amritanandamayi Marg, Sector 88, Faridabad, Haryana</t>
  </si>
  <si>
    <t>https://www.amrita.edu/school/medicine/faridabad/</t>
  </si>
  <si>
    <t>Attached Amrita Hospital Faridabad, library, labs, hostel</t>
  </si>
  <si>
    <t>Conflicting aggregator figures found: Rs 18.5 lakh/yr (management/general) vs Rs 27.6 lakh/yr in another source; used the lower, more frequently cited figure. Establishment year not confirmed (recently established campus, admitted first MBBS batch around 2022-23). | Formity/mbbscouncil aggregators - https://formity.ai/colleges/amrita-school-of-medicine-faridabad/ , https://mbbscouncil.com/listing/amrita-school-of-medicine-faridabad/</t>
  </si>
  <si>
    <t>Manipal Tata Medical College, Jamshedpur</t>
  </si>
  <si>
    <t>Jharkhand</t>
  </si>
  <si>
    <t>Jamshedpur</t>
  </si>
  <si>
    <t>Manipal Tata Medical College, Jamshedpur, Jharkhand</t>
  </si>
  <si>
    <t>https://manipaltatamedical.edu.in/</t>
  </si>
  <si>
    <t>Attached Tata Main Hospital, library, labs, hostel</t>
  </si>
  <si>
    <t>Official MAHE general-category (non-NRI) fee, per-year installment: tuition + other fee. MBBS 5.5 yrs, 4 yearly installments; total course Rs 64,45,000; refundable caution deposit Rs 10,000 excluded | MAHE official Course Fees 2025-26, General Category (manipal.edu/content/dam/manipal/mu/documents/Admissions/adm2025/FEES UPDATION - GENERAL.pdf)</t>
  </si>
  <si>
    <t>MAHE (deemed) admits via MCC deemed counselling with no caste reservation; same fee for all categories.</t>
  </si>
  <si>
    <t>Shri. B.M. Patil Medical College &amp; Hospital (BLDE University), Bijapur</t>
  </si>
  <si>
    <t>Karnataka</t>
  </si>
  <si>
    <t>Vijayapura</t>
  </si>
  <si>
    <t>Shri B.M. Patil Medical College Hospital and Research Centre, BLDE (Deemed to be University), Sholapur Road, Vijayapura (Bijapur), Karnataka 586103</t>
  </si>
  <si>
    <t>https://bldedu.ac.in/</t>
  </si>
  <si>
    <t>Attached Shri B.M. Patil Hospital, library, labs, hostel</t>
  </si>
  <si>
    <t>Sources describe BLDE fees as comparatively lower than peer deemed colleges but did not publish a specific numeric annual figure in the retrieved pages; left blank rather than guessed. Recommend checking bldedu.ac.in directly. Total seats reported variably as 200 or 250; 250 used as most cited. | edusindia/getmyuniversity aggregators - https://edusindia.in/shri-b-m-patil-medical-college-blde-bijapur-mbbs-pg-fee/</t>
  </si>
  <si>
    <t>No caste-based reservation expected on MCC deemed-university MBBS seats; not independently confirmed for this college.</t>
  </si>
  <si>
    <t>Jawahar Lal Nehru Medical College (KLE), Belagavi</t>
  </si>
  <si>
    <t>Belagavi</t>
  </si>
  <si>
    <t>Jawaharlal Nehru Medical College, Nehru Nagar, Belagavi, Karnataka 590010</t>
  </si>
  <si>
    <t>https://jnmc.edu/</t>
  </si>
  <si>
    <t>Attached KLE Dr. Prabhakar Kore Hospital, library, labs, hostel</t>
  </si>
  <si>
    <t>Management/paid seat (general) category, KAHER official notice, MCC 2025-26</t>
  </si>
  <si>
    <t>Official 2025-26 fee: Yr1 Rs 19,20,000; Yr2-4 Rs 19,15,000 each; Yr5 Rs 9,60,000. NRI fee: Yr1 $45,500; Yr2-4 $44,000 each; Yr5 $24,000. Latest full-year figure (Yr1) used. | KAHER official fee notice (23/06/2025) - https://kaher.edu.in/wp-content/uploads/2025/06/UG-MBBS-BDS-BAMS-BHMS-Fees-2025-26.pdf</t>
  </si>
  <si>
    <t>No caste-based reservation on deemed/management seats; official KAHER notice shows a single 'General' fee slab for all Indian students.</t>
  </si>
  <si>
    <t>Jagadguru Sri Shivarathreeshwara (JSS) Medical College, Mysore</t>
  </si>
  <si>
    <t>Mysuru</t>
  </si>
  <si>
    <t>JSS Medical College, Medical Institutions Campus, S S Nagar, Mysuru, Karnataka 570015</t>
  </si>
  <si>
    <t>https://jssuni.edu.in/</t>
  </si>
  <si>
    <t>Attached JSS Hospital, library, labs, hostel</t>
  </si>
  <si>
    <t>Deemed/management quota seat, MCC 2025-26</t>
  </si>
  <si>
    <t>Annual management-quota tuition ~Rs 18,50,000; plus a one-time processing fee of Rs 2,00,000 for deemed-category seats (listed under development_fee here, as only found one-time). Total NMC-approved MBBS intake reported variably as 200/238/250 across sources; 200 used as most consistently cited figure. | Formity/mbbscouncil aggregators - https://formity.ai/colleges/jss-medical-college-mysore/</t>
  </si>
  <si>
    <t>No caste-based reservation on deemed/management MCC seats; fee same for all categories. (Government-quota seats, filled via Karnataka state counselling with a much lower fee ~Rs 1.5 lakh/yr, are a separate track not covered by MCC deemed counselling.)</t>
  </si>
  <si>
    <t>K. S Hegde Medical Academy, Mangaluru</t>
  </si>
  <si>
    <t>Mangaluru</t>
  </si>
  <si>
    <t>K.S. Hegde Medical Academy, Deralakatte, Mangaluru, Dakshina Kannada, Karnataka 575018</t>
  </si>
  <si>
    <t>https://kshema.nitte.edu.in/</t>
  </si>
  <si>
    <t>Attached Justice K.S. Hegde Charitable Hospital, library, labs, hostel</t>
  </si>
  <si>
    <t>Multiple sources confirmed the college charges deemed/management and NRI fees but none published a specific 2025-26 numeric figure within the pages retrieved; recommend checking kshema.nitte.edu.in or KEA portal directly. | kshema.nitte.edu.in and multiple aggregators did not surface an exact current annual fee figure</t>
  </si>
  <si>
    <t>No caste-based reservation expected on MCC deemed-university seats; not independently confirmed for this specific college.</t>
  </si>
  <si>
    <t>Kasturba Medical College, Mangalore</t>
  </si>
  <si>
    <t>Kasturba Medical College, Light House Hill Road, Mangaluru, Karnataka 575001</t>
  </si>
  <si>
    <t>https://manipal.edu/kmc-mangalore.html</t>
  </si>
  <si>
    <t>Attached Kasturba Hospital, library, labs, hostel</t>
  </si>
  <si>
    <t>Official MAHE general-category (non-NRI) fee, per-year installment: tuition + other fee. MBBS 5.5 yrs, 4 yearly installments; total course Rs 70,88,500; refundable caution deposit Rs 10,000 excluded | MAHE official Course Fees 2025-26, General Category (manipal.edu/content/dam/manipal/mu/documents/Admissions/adm2025/FEES UPDATION - GENERAL.pdf)</t>
  </si>
  <si>
    <t>Kasturba Medical College, Manipal</t>
  </si>
  <si>
    <t>Manipal</t>
  </si>
  <si>
    <t>Kasturba Medical College, Madhav Nagar, Manipal, Udupi, Karnataka 576104</t>
  </si>
  <si>
    <t>https://manipal.edu/kmc-manipal.html</t>
  </si>
  <si>
    <t>Sri Devaraj University Medical College (SDU), Kolar</t>
  </si>
  <si>
    <t>Kolar</t>
  </si>
  <si>
    <t>Sri Devaraj Urs Medical College, Tamaka, Kolar, Karnataka 563103</t>
  </si>
  <si>
    <t>https://sduaher.ac.in/</t>
  </si>
  <si>
    <t>Attached R.L. Jalappa Hospital, library, labs, hostel</t>
  </si>
  <si>
    <t>Deemed/management (paid) quota seat, MCC 2025-26</t>
  </si>
  <si>
    <t>Management category first-year fee reported as Rs 17,60,000; total course fee reported as Rs 87.3 lakh over 5.5 years. NRI category reported at $45,200/yr. Seat count reported variably as 150/200; 150 used as more consistently cited. | Collegedekho/mbbscouncil aggregators - https://www.collegedekho.com/colleges/sri-devaraj-urs-medical-college/mbbs-dpid-84178</t>
  </si>
  <si>
    <t>No caste-based reservation on MCC deemed-university MBBS seats; fee same for all categories.</t>
  </si>
  <si>
    <t>Sri Siddharth Medical College, Tumkur</t>
  </si>
  <si>
    <t>Tumakuru</t>
  </si>
  <si>
    <t>Sri Siddhartha Medical College, B.H. Road, Agalakote, Tumakuru, Karnataka 572107</t>
  </si>
  <si>
    <t>https://ssahe.in/</t>
  </si>
  <si>
    <t>Attached Sri Siddhartha Medical College Hospital, library, labs, hostel</t>
  </si>
  <si>
    <t>Deemed general (non-NRI)/management seat, MCC 2025-26 (no state domicile requirement, no category reservation)</t>
  </si>
  <si>
    <t>Management-quota fee reported as Rs 18,80,000/yr (Rs 18,10,000/yr also cited by another source); NRI fee reported as Rs 42,00,000/yr. Seats raised from 200 (2024-25) to 250 (2025-26). Hostel/mess Rs 1,75,000/yr excluded. | mycollegepath/managementquotafees aggregators - https://mycollegepath.in/sri-siddhartha-medical-college-du-tumkur-karnataka-deemed-cutoff-2026.html</t>
  </si>
  <si>
    <t>Explicitly confirmed by aggregator: MCC deemed counselling for this institution has no state domicile requirement and no category reservation; every candidate competes on one open-merit list, so fee is identical for all categories.</t>
  </si>
  <si>
    <t>Yenepoya Medical College, Mangalore</t>
  </si>
  <si>
    <t>Yenepoya Medical College, University Road, Deralakatte, Mangaluru, Karnataka 575018</t>
  </si>
  <si>
    <t>https://www.ymc.yenepoya.edu.in/</t>
  </si>
  <si>
    <t>Attached Yenepoya Medical College Hospital, library, labs, hostel</t>
  </si>
  <si>
    <t>Reported general-quota fee is Rs 23,00,000/yr (total ~Rs 1.05 crore over 5.5 years incl. internship); NRI/management fee reported at $36,000/yr. A separate AIR-linked fee ladder was also reported (e.g. AIR 0-5,000 pays zero tuition; higher AIR bands pay progressively more up to Rs 78.75 lakh total) — this appears to be a merit-based scholarship/fee-waiver scheme rather than the standard fee, so the flat Rs 23,00,000/yr figure is used as fee_quota_basis default. | collegeandfees/bookmymedicalcollege aggregators - https://collegeandfees.com/colleges/yenepoya-medical-college-mangalore</t>
  </si>
  <si>
    <t>No caste-based reservation on MCC deemed-university MBBS seats; fee same for all categories (the AIR-linked scheme noted above is merit-based, not caste-based).</t>
  </si>
  <si>
    <t>Raja Rajeswari Medical College, Bengaluru</t>
  </si>
  <si>
    <t>Bengaluru</t>
  </si>
  <si>
    <t>Raja Rajeswari Medical College and Hospital, Kambipura, Bengaluru, Karnataka 560074</t>
  </si>
  <si>
    <t>https://www.rrmch.edu.in/</t>
  </si>
  <si>
    <t>Attached RRMCH Hospital, library, labs, hostel</t>
  </si>
  <si>
    <t>Deemed-paid quota fee reported ~Rs 23,50,000/yr; another source lists Rs 25,00,000/yr for management quota. NRI quota reported at $55,000/yr. Of the 250 total MBBS seats, ~200 are deemed-paid and ~40 NRI. | iQuanta/mbbscouncil aggregators - https://www.iquanta.in/blog/rajarajeshwari-medical-college-mbbs-fees/</t>
  </si>
  <si>
    <t>Sri Siddharth Academy, T Begur</t>
  </si>
  <si>
    <t>Sri Siddhartha Institute of Medical Sciences and Research Centre, T Begur, Nelamangala Taluk, Bengaluru Rural, Karnataka 562123</t>
  </si>
  <si>
    <t>Deemed general (non-NRI) seat, MCC 2025-26 (no state domicile requirement, no category reservation)</t>
  </si>
  <si>
    <t>Annual tuition reported as Rs 18,80,000/yr (~Rs 84.6 lakh total course); hostel/mess Rs 1,75,000/yr excluded per instructions. | Formity/mycollegepath aggregators - https://formity.ai/colleges/sri-siddhartha-institute-of-medical-sciences-t-begur/</t>
  </si>
  <si>
    <t>Jagadguru Gangadhar Mahaswamigalu Moorusavirmath Medical College, Huballi</t>
  </si>
  <si>
    <t>Hubballi</t>
  </si>
  <si>
    <t>KLE JGMMMC and Hospital, Gabbur Cross, Hubballi, Karnataka 580030</t>
  </si>
  <si>
    <t>0836-2004077</t>
  </si>
  <si>
    <t>https://klejgmmmc.edu.in/</t>
  </si>
  <si>
    <t>Attached KLE Hospital, library, labs, hostel</t>
  </si>
  <si>
    <t>Official 2025-26 fee: Yr1 Rs 17,60,000; Yr2-4 Rs 17,55,000 each; Yr5 Rs 8,80,000. NRI fee: Yr1 $40,000; Yr2-4 $38,500 each; Yr5 $21,000. Latest full-year figure (Yr1) used. | KAHER official fee notice (23/06/2025) - https://kaher.edu.in/wp-content/uploads/2025/06/UG-MBBS-BDS-BAMS-BHMS-Fees-2025-26.pdf</t>
  </si>
  <si>
    <t>Amrita Institute of Medical Science, Kochi</t>
  </si>
  <si>
    <t>Kerala</t>
  </si>
  <si>
    <t>Kochi</t>
  </si>
  <si>
    <t>Amrita School of Medicine, Amrita Nagar, Edappally, Ernakulam, Kerala 682041</t>
  </si>
  <si>
    <t>0484-2858131</t>
  </si>
  <si>
    <t>ugadmissions@aims.amrita.edu</t>
  </si>
  <si>
    <t>https://www.amrita.edu/school/medicine</t>
  </si>
  <si>
    <t>MBBS, MD, MS, DM, MCh</t>
  </si>
  <si>
    <t>210 ICU beds, 28 operation theatres, 45 departments incl. 12 super-speciality units, multi-specialty teaching hospital, hostel</t>
  </si>
  <si>
    <t>Deemed general (non-NRI) MBBS seat, MCC 2025-26</t>
  </si>
  <si>
    <t>Tuition fee Rs 25,00,000/year (management/deemed quota). Other fee ~Rs 88,000/year per source (breakdown between development/other unclear, hostel &amp; mess separate at Rs 88,000/year). NRI fee $50,000/year. | mbbscouncil.com listing (mbbscouncil.com/listing/amrita-medical-college-kochi/) and amrita.edu</t>
  </si>
  <si>
    <t>MCC deemed-university counselling has no caste-based reservation; fee is uniform across categories for the general (non-NRI) deemed seat.</t>
  </si>
  <si>
    <t>Bharati Vidyapeeth Deemed University Medical College and Hospital, Sangli</t>
  </si>
  <si>
    <t>Maharashtra</t>
  </si>
  <si>
    <t>Deemed University (Trust)</t>
  </si>
  <si>
    <t>Sangli</t>
  </si>
  <si>
    <t>Sangli-Miraj Road, Wanlesswadi, Sangli - 416414, Maharashtra</t>
  </si>
  <si>
    <t>0233-2212780</t>
  </si>
  <si>
    <t>https://mchsangli.bharatividyapeeth.edu/</t>
  </si>
  <si>
    <t>MBBS, MD, MS</t>
  </si>
  <si>
    <t>780-bed hospital, 51 adult ICU beds, 10 PICU, 12 NICU, 9 modular OTs, 64-slice CT, 1.5T MRI, DSA, boys &amp; girls hostel with mess</t>
  </si>
  <si>
    <t>Total fee Rs 25,52,550/year (tuition + 10% development fee). NRI fee US$85,050 + INR 1,12,000/year. Fee revised upward 5% per annum for subsequent years. Hostel fee (separate) Rs 1,33,500/year. | Official BVDU circular (Admission_Instructions_MBBS_Course_2025-26, mchsangli.bharatividyapeeth.edu), dated 17 June 2025</t>
  </si>
  <si>
    <t>Bharati Vidyapeeth Deemed University Medical College, Pune</t>
  </si>
  <si>
    <t>Pune</t>
  </si>
  <si>
    <t>Bharati Vidyapeeth Medical College Road, Pune-Satara Road, Dhankawadi, Pune - 411043, Maharashtra</t>
  </si>
  <si>
    <t>020-24373226</t>
  </si>
  <si>
    <t>https://mcpune.bharatividyapeeth.edu/</t>
  </si>
  <si>
    <t>750-bed multi-specialty Bharati Hospital, NABH-accredited departments, 25-acre campus, hostel</t>
  </si>
  <si>
    <t>Total fee Rs 28,55,600/year (tuition + 10% development fee). NRI fee US$85,050 + INR 1,12,000/year. Fee revised upward 5% per annum for subsequent years. | Official BVDU circular no.495 dated 17 June 2025 (viewed via mchsangli.bharatividyapeeth.edu combined circular)</t>
  </si>
  <si>
    <t>Dr. D. Y. Patil Medical College and Hospital, Pune</t>
  </si>
  <si>
    <t>Sant Tukaram Nagar, Pimpri, Pune - 411018, Maharashtra</t>
  </si>
  <si>
    <t>020-27805100</t>
  </si>
  <si>
    <t>https://medical.dpu.edu.in/</t>
  </si>
  <si>
    <t>2000-bed NABH-accredited DPU multi-specialty hospital, boys &amp; girls hostel</t>
  </si>
  <si>
    <t>Tuition Rs 27,00,000/year. One-time (not annual) charges: eligibility fee Rs 2,00,000 and caution deposit Rs 50,000 (1st year only), excluded. NRI fee ~US$60,000/year. | medical.dpu.edu.in official MBBS fee structure 2025-26 (cross-checked via hellomentor.in and edufever.com)</t>
  </si>
  <si>
    <t>Dr. D. Y. Patil Medical College, Navi Mumbai</t>
  </si>
  <si>
    <t>Navi Mumbai</t>
  </si>
  <si>
    <t>11, Ayyappa Road, Dr D Y Patil Vidyanagar, Sector 7, Nerul, Navi Mumbai - 400706, Maharashtra</t>
  </si>
  <si>
    <t>022-27700301</t>
  </si>
  <si>
    <t>deanmedical@dypatil.edu</t>
  </si>
  <si>
    <t>https://dypatil.edu/schools/school-of-medicine</t>
  </si>
  <si>
    <t>Attached D Y Patil Hospital, hostel</t>
  </si>
  <si>
    <t>Deemed general (non-NRI) MBBS seat, MCC 2025-26 (secondary sources give slightly conflicting figures)</t>
  </si>
  <si>
    <t>Sources vary: Rs 26,00,000/year vs Rs 27,00,000/year tuition; used Rs 27,00,000/year as more detailed figure, plus one-time university fee ~Rs 2,84,000 (excluded). Hostel Rs 3,50,000/year excluded. NRI fee ~US$55,000/year. | edufever.com/dy-patil-medical-college-mumbai and iesonline.co.in aggregators; official dypatil.edu fee-structure page did not display exact figures</t>
  </si>
  <si>
    <t>Dr. D. Y. Patil Education Society, Deemed University, Kolhapur</t>
  </si>
  <si>
    <t>Kolhapur</t>
  </si>
  <si>
    <t>D. Y. Patil Vidyanagar, Kasaba Bavada, Kolhapur - 416006, Maharashtra</t>
  </si>
  <si>
    <t>0231-2991436</t>
  </si>
  <si>
    <t>info@dypatilkolhapur.org</t>
  </si>
  <si>
    <t>https://dypatilunikop.org/</t>
  </si>
  <si>
    <t>800-bed multi-specialty teaching hospital, boys &amp; girls hostel</t>
  </si>
  <si>
    <t>Deemed general (non-NRI) MBBS seat, approx. 2025-26 (secondary source, total course fee divided by years)</t>
  </si>
  <si>
    <t>Only a total course fee (~Rs 1.08 crore over 4.5 years) was found; divided to estimate annual tuition ~Rs 24,00,000. Development/other fee breakdown not available from any source found. | mbbscouncil.com and studentkhabri.com aggregators (official fee circular not accessible)</t>
  </si>
  <si>
    <t>Jawahar Lal Nehru Medical College, Datta Meghe, Wardha</t>
  </si>
  <si>
    <t>Wardha</t>
  </si>
  <si>
    <t>Sawangi (Meghe), Wardha - 442004, Maharashtra</t>
  </si>
  <si>
    <t>https://dmiher.edu.in/</t>
  </si>
  <si>
    <t>Acharya Vinoba Bhave Rural Hospital with 1525 teaching beds, boys &amp; girls hostel</t>
  </si>
  <si>
    <t>Deemed general (non-NRI) MBBS seat, MCC 2025-26 (secondary sources; figures vary)</t>
  </si>
  <si>
    <t>Sources vary widely (Rs 18-23.5 lakh/year with 7-7.5% annual increment reported); used ~Rs 23,20,000/year as the most cited recent per-year figure. NRI fee reported inconsistently ($36,000-$54,500). Security deposit Rs 2,00,000 (refundable) and hostel/mess ~Rs 3,00,000/year excluded. | formity.ai and managementquotafees.com aggregators; official DMIHER/JNMC fee circular not directly accessed</t>
  </si>
  <si>
    <t>Krishna Institute of Medical Sciences, Karad</t>
  </si>
  <si>
    <t>Karad</t>
  </si>
  <si>
    <t>Krishna Institute of Medical Sciences, Karad, Dist. Satara, Maharashtra - 415110</t>
  </si>
  <si>
    <t>02164-241555</t>
  </si>
  <si>
    <t>coe@kimskarad.in</t>
  </si>
  <si>
    <t>https://www.kimskarad.in/</t>
  </si>
  <si>
    <t>Attached teaching hospital, 57-acre eco-friendly campus, hostel</t>
  </si>
  <si>
    <t>Deemed general (non-NRI) MBBS seat (170 of 200 intake), official KIMSDU circular</t>
  </si>
  <si>
    <t>Tuition Rs 20,87,000/year for general quota (170 seats), rises 7% annually. One-time eligibility fee Rs 1,00,000 + refundable caution deposit Rs 50,000 excluded. NRI quota (30 seats) fee $50,000/year. Hostel fee (separate) Rs 70,000/year + refundable deposit Rs 25,000. | Official KIMSDU MBBS fee structure PDF (kimskarad.in/documents/306/FEE_STRUCTURE_FOR_MBBS.pdf)</t>
  </si>
  <si>
    <t>MCC deemed-university counselling has no caste-based reservation; fee is uniform across categories for the general (non-NRI) deemed seat (170 of 200 total seats; 30 are a separate NRI quota, not a caste category).</t>
  </si>
  <si>
    <t>MGM Medical College, Aurangabad</t>
  </si>
  <si>
    <t>Chhatrapati Sambhajinagar (Aurangabad)</t>
  </si>
  <si>
    <t>N-6, CIDCO, Chhatrapati Sambhajinagar (Aurangabad), Maharashtra - 431003</t>
  </si>
  <si>
    <t>https://mgmmcha.org/</t>
  </si>
  <si>
    <t>Attached teaching hospital, hostel</t>
  </si>
  <si>
    <t>Deemed/Paid seat quota (212 of 250 intake), MCC 2025-26</t>
  </si>
  <si>
    <t>Tuition Rs 23,50,000/year, fixed via post-dated cheques through 2028 (reduced to Rs 11,75,000 for partial final term in 2029). One-time charges excluded: Library Rs25,000, Laboratory Rs25,000, Gymkhana Rs10,000, refundable Security Deposit Rs1,00,000, University Eligibility Fee Rs1,17,500. NRI quota (38 of 250 seats) fee $60,000/year. | Official MGM Medical College Aurangabad Fee Structure &amp; DD Details, Annexure-2, First MBBS 2025-26 (mgmmcha.org)</t>
  </si>
  <si>
    <t>MGM Medical College, Navi Mumbai</t>
  </si>
  <si>
    <t>Sector-1, Kamothe, Navi Mumbai - 410209, Maharashtra</t>
  </si>
  <si>
    <t>022-7433404</t>
  </si>
  <si>
    <t>mgmmcnb@gmail.com</t>
  </si>
  <si>
    <t>https://mgmmcnm.edu.in/</t>
  </si>
  <si>
    <t>Attached teaching hospital, optional hostel &amp; mess</t>
  </si>
  <si>
    <t>Deemed/management seat (213 of 250 intake), MCC 2025-26</t>
  </si>
  <si>
    <t>Tuition Rs 23,50,000/year + other miscellaneous fees Rs 1,70,500 (caution deposit, stationery/journals, aprons, ID/library card, gymkhana, welfare/cultural activities). One-time university eligibility fee Rs1,17,500 excluded. Optional hostel &amp; mess Rs 2,20,000 (1st year, incl. one-time Rs40,000 deposit) excluded. NRI quota (37 of 250 seats) fee $60,000/year. | Official MGM Medical College Navi Mumbai fee circular dated 16 July 2025 (mgmmcnm.edu.in)</t>
  </si>
  <si>
    <t>Rural Medical College and Pravara Institute of Medical College, Loni</t>
  </si>
  <si>
    <t>Loni</t>
  </si>
  <si>
    <t>Loni Bk. - 413736 (Near Shirdi), Tal. Rahata, Dist. Ahmednagar, Maharashtra</t>
  </si>
  <si>
    <t>02422-273600</t>
  </si>
  <si>
    <t>contact@pmtpims.org</t>
  </si>
  <si>
    <t>https://www.pravara.com/</t>
  </si>
  <si>
    <t>1275+ bed teaching hospital, 120-acre campus, hostel</t>
  </si>
  <si>
    <t>All India Merit/Management/Paid seats (85% of 200 intake), official PIMS 2025-26 circular</t>
  </si>
  <si>
    <t>Tuition Rs 19,00,000/year (Dr. Balasaheb Vikhe Patil Rural Medical College), fixed for 3 years then MBBS fees rise 15% from 2028-29. One-time eligibility fee = 5% of tuition, excluded. NRI/PIO/FN category (15% of seats) fee US$1,11,760/year. | Official Pravara Institute of Medical Sciences Notification No.21/2025 dated 12 June 2025 (pravara.com/pdf/Notification_2025_26_of_Fee_Structure.pdf)</t>
  </si>
  <si>
    <t>MCC deemed-university counselling has no caste-based reservation; fee is uniform across categories for the general (non-NRI) deemed/paid seat (85% of intake; 15% is a separate NRI/PIO/FN quota, not a caste category).</t>
  </si>
  <si>
    <t>Datta Meghe Medical College, Wanadongri Hingna, Nagpur</t>
  </si>
  <si>
    <t>Nagpur</t>
  </si>
  <si>
    <t>Wanadongri, Hingna Road, Nagpur - 441110, Maharashtra</t>
  </si>
  <si>
    <t>7123501708</t>
  </si>
  <si>
    <t>https://www.dmmcnagpur.com/</t>
  </si>
  <si>
    <t>~350-bed teaching hospital, boys &amp; girls hostel</t>
  </si>
  <si>
    <t>Tuition Rs 23,25,000/year + co-curricular fee Rs 1,25,000/year. One-time university enrollment fee (Rs 1-1.5 lakh, 1st year only) excluded. NRI fee ~US$27,000/year + US$2,000 co-curricular. Tuition rises 7.5% annually. | dmmcnagpur.com official fee circular (cross-checked via edufever.com and mbbscouncil.com)</t>
  </si>
  <si>
    <t>Symbiosis Medical College for Women, Pune</t>
  </si>
  <si>
    <t>Symbiosis International (Deemed University) Campus, Gram Lavale, Tal. Mulshi, Pune - 412115, Maharashtra</t>
  </si>
  <si>
    <t>https://www.siu.edu.in/</t>
  </si>
  <si>
    <t>Attached teaching hospital, women's hostel</t>
  </si>
  <si>
    <t>Deemed general (non-NRI) MBBS seat, Year-1 fee, MCC 2025-26 (secondary source)</t>
  </si>
  <si>
    <t>Year-1 tuition Rs 10,00,000 for general merit (127 of 150 seats); a mandated 10% annual increment on tuition/hostel/mess applies, reaching ~Rs 53.73 lakh cumulative tuition over 4.5 years. NRI quota (23 of 150 seats) fee $40,645 (Year 1). | managementquotafees.com and collegedunia.com aggregators (official Symbiosis fee circular not directly located)</t>
  </si>
  <si>
    <t>MCC deemed-university counselling has no caste-based reservation; fee is uniform across categories for the general (non-NRI) deemed seat. This is a women-only medical college.</t>
  </si>
  <si>
    <t>Mahatma Gandhi Mission Medical College Vashi, Navi Mumbai</t>
  </si>
  <si>
    <t>A-1401, Sector 30, Vashi, Navi Mumbai - 400703, Maharashtra</t>
  </si>
  <si>
    <t>https://mgmmcvashi.edu.in/</t>
  </si>
  <si>
    <t>Attached MGM Hospital Vashi, hostel</t>
  </si>
  <si>
    <t>Deemed/management seat, MCC 2025-26 (secondary sources; consistent with MGM group's published rate)</t>
  </si>
  <si>
    <t>Tuition ~Rs 23,50,000/year cited, matching the rate published for other MGM deemed campuses; NRI fee ~$60,000/year. Total course fee cited as ~Rs 94,50,000. Development/other annual fee breakdown not found specific to Vashi. | edufever.com/mgm-medical-college-vashi and shiksha.com (secondary; Vashi-specific official circular not directly located)</t>
  </si>
  <si>
    <t>MGM Medical College, Nerul</t>
  </si>
  <si>
    <t>https://www.mgmmcnerul.edu.in/</t>
  </si>
  <si>
    <t>Deemed/management seat, MCC 2025-26</t>
  </si>
  <si>
    <t>IMPORTANT: search results indicate 'MGM Medical College, Nerul' and 'MGM Medical College, Navi Mumbai' (id 27) share the same Sector-1, Kamothe address, seat count and fee circular - this may be the same institution listed under two names/domains rather than a distinct campus. Figures reused from the id-27 official circular pending verification. | mgmmcnerul.edu.in/fee-structure (cross-referenced with the mgmmcnm.edu.in official circular; both domains resolve to the same Kamothe, Navi Mumbai address)</t>
  </si>
  <si>
    <t>Institute of Medical Sciences and SUM Hospital, Bhubaneswar</t>
  </si>
  <si>
    <t>Odisha</t>
  </si>
  <si>
    <t>Bhubaneswar</t>
  </si>
  <si>
    <t>K-8, Kalinga Nagar, P.O. Ghatikia, Bhubaneswar - 751003, Odisha</t>
  </si>
  <si>
    <t>0674-2386281</t>
  </si>
  <si>
    <t>dean.ims@soa.ac.in</t>
  </si>
  <si>
    <t>https://www.ims.ac.in/</t>
  </si>
  <si>
    <t>SUM Hospital multi-specialty teaching hospital, hostel</t>
  </si>
  <si>
    <t>Deemed management seat, MCC 2025-26</t>
  </si>
  <si>
    <t>Management seat tuition cited as Rs 17,90,000/year; NRI/in-lieu-of-NRI fee US$45,000/year. A separate secondary source cites a total course fee of ~Rs 1.2 crore over 4.5 years (implying a higher per-year average including one-time charges) - figures not fully reconciled between sources. | bodmaseducation.com and edufever.com aggregators (official SOA MBBS fee PDF not directly located)</t>
  </si>
  <si>
    <t>Kalinga Institute of Medical Sciences, Bhubaneswar</t>
  </si>
  <si>
    <t>KIMS Road, Chandaka Industrial Estate, Bhubaneswar - 751024, Odisha</t>
  </si>
  <si>
    <t>0674-2725472</t>
  </si>
  <si>
    <t>scdash@kims.ac.in</t>
  </si>
  <si>
    <t>https://kims.kiit.ac.in/</t>
  </si>
  <si>
    <t>MBBS, MD, MS, PG Diploma</t>
  </si>
  <si>
    <t>Attached 2600-bed NABH-accredited Pradyumna Bal Memorial Hospital, hostel, library</t>
  </si>
  <si>
    <t>Annual tuition Rs 18,50,000; a one-time fee of Rs 75,000 also applies (not included above). NRI annual fee is USD 40,000. Hostel/mess excluded. | RMGOE/Edufever aggregator (https://blog.rmgoe.org/kalinga-institute-of-medical-sciences/), collegedunia</t>
  </si>
  <si>
    <t>MCC deemed-university counselling has no caste-based reservation; fee is identical across categories.</t>
  </si>
  <si>
    <t>Institute of Medical Sciences and SUM Hospital, Campus II, Bhubaneswar</t>
  </si>
  <si>
    <t>Nakhara, P.O. Phulnakhara, Bhubaneswar - 754001, Odisha</t>
  </si>
  <si>
    <t>0671-2911417</t>
  </si>
  <si>
    <t>Attached teaching hospital (newly established campus), hostel</t>
  </si>
  <si>
    <t>Deemed management seat, MCC 2025-26 (secondary sources give two figures)</t>
  </si>
  <si>
    <t>Sources cite Rs 17.95 lakh/year (one source) vs ~Rs 21.95 lakh/year described as 'aligned with Campus-I fee update' (another); used the higher, more recently cited figure. One-time caution money Rs5,000 and student welfare fee Rs2,000 excluded. This is a newly established (2024) campus, so published data may still be evolving. | careeredwise.com and mbbscouncil.com aggregators (official fee circular not directly located)</t>
  </si>
  <si>
    <t>Aarupadai Veedu Medical College and Hospital, Puducherry</t>
  </si>
  <si>
    <t>Puducherry</t>
  </si>
  <si>
    <t>Pondy-Cuddalore Main Road, Kirumampakkam, Bahour Commune, Puducherry - 607403</t>
  </si>
  <si>
    <t>https://www.avmc.edu.in/</t>
  </si>
  <si>
    <t>Annual tuition reported as Rs 23,00,000; another breakdown lists total course tuition Rs 94,50,000 plus a one-time fee of Rs 87,600 (used as other_fees) and hostel fee Rs 8,87,500/yr (excluded). College is a constituent of Vinayaka Missions Research Foundation (deemed university). | Collegedunia/Shiksha aggregator (https://collegedunia.com/college/10214-aarupadai-veedu-medical-college-avmc-pondicherry/courses-fees)</t>
  </si>
  <si>
    <t>Mahatma Gandhi Medical College, Puducherry</t>
  </si>
  <si>
    <t>SBV Campus, Pillayarkuppam, Puducherry - 607402</t>
  </si>
  <si>
    <t>https://mgmcri.ac.in/</t>
  </si>
  <si>
    <t>MBBS, MD, MS, Diploma</t>
  </si>
  <si>
    <t>1200+ bed teaching hospital, blood bank, hostel; constituent college of Sri Balaji Vidyapeeth</t>
  </si>
  <si>
    <t>Annual normal MBBS fee Rs 25,00,000 + annual R&amp;D fee Rs 1,50,000 (development_fee) + one-time university registration Rs 50,000 (other_fees). NRI annual tuition USD 55,000. Hostel/mess (Rs 2,50,000/yr twin-AC + upkeep + laundry) excluded. 38 of 250 seats are NRI quota. | Edufever aggregator (https://www.edufever.com/mgmc-pondicherry/), mbbscouncil.com</t>
  </si>
  <si>
    <t>MCC deemed-university counselling has no caste-based reservation; fee identical across categories. open/obc/ews/sc/st_fee = tuition + development fee (Rs 26,50,000) plus one-time registration averaged in for consistency; see fee_note for exact breakdown.</t>
  </si>
  <si>
    <t>Sri Lakshmi Narayana Institute of Medical Sciences, Puducherry</t>
  </si>
  <si>
    <t>Osudu Agaram Village, Villianur Commune, Kudupakkam Post, Puducherry - 605502</t>
  </si>
  <si>
    <t>0413-2661995</t>
  </si>
  <si>
    <t>https://slims.ac.in/</t>
  </si>
  <si>
    <t>Attached hospital with 680 beds, 12 major + 5 minor OTs, library (17,800 books), hostel</t>
  </si>
  <si>
    <t>Annual management-quota tuition Rs 25,00,000; admission fee Rs 10,000 (other_fees) plus one-time university registration Rs 5,000, refundable caution deposits Rs 75,000+75,000 (excluded). NRI annual fee USD 60,000. Hostel fees (room+mess ~Rs 2,10,000-2,35,000/yr) excluded. | mbbscouncil.com (https://mbbscouncil.com/listing/sri-lakshmi-narayana-institute-of-medical-sciences-puducherry/)</t>
  </si>
  <si>
    <t>MCC deemed-university counselling has no caste-based reservation; fee identical across categories.</t>
  </si>
  <si>
    <t>Vinayaka Missions Medical College and Hospital, Karaikal</t>
  </si>
  <si>
    <t>Karaikal</t>
  </si>
  <si>
    <t>Keezhakasakudimedu, Kottucherry Post, Karaikal - 609609, Puducherry</t>
  </si>
  <si>
    <t>07845876099</t>
  </si>
  <si>
    <t>https://vmmckkl.edu.in/</t>
  </si>
  <si>
    <t>Attached teaching hospital with 13 clinical departments, 13 AC operation theatres, DSA/MRI/CT diagnostics, hostel</t>
  </si>
  <si>
    <t>Annual management-quota tuition Rs 21,00,000; other annual fees Rs 87,550. Hostel (non-AC Rs 1,45,000 / AC Rs 1,85,000 per year) excluded. Constituent college of Vinayaka Missions Research Foundation (deemed university). NRI fee not separately published. | mbbscouncil.com (https://mbbscouncil.com/listing/vinayaka-missions-medical-college-karaikal/)</t>
  </si>
  <si>
    <t>ACS Medical College and Hospital, Chennai</t>
  </si>
  <si>
    <t>Tamil Nadu</t>
  </si>
  <si>
    <t>Chennai</t>
  </si>
  <si>
    <t>Poonamalle High Road, Velappanchavadi, Chennai - 600077</t>
  </si>
  <si>
    <t>044-26800113</t>
  </si>
  <si>
    <t>https://acsmch.ac.in/</t>
  </si>
  <si>
    <t>Attached teaching hospital, hostel with broadband, canteen; constituent of Dr. MGR Educational and Research Institute (deemed university)</t>
  </si>
  <si>
    <t>Annual tuition Rs 23,00,000 payable for 5 years. NRI annual fee USD 55,000. Hostel (non-AC Rs 1,25,000 / AC Rs 1,75,000/yr) and transport (Rs 30,000-35,000/yr) excluded. Total seat count varies by source (150 vs 250); 250 used per mbbscouncil/edufever. | mbbscouncil.com (https://mbbscouncil.com/listing/acs-medical-college/)</t>
  </si>
  <si>
    <t>Chettinad Hospital and Research Institute, Kancheepuram</t>
  </si>
  <si>
    <t>Kancheepuram</t>
  </si>
  <si>
    <t>Rajiv Gandhi Salai (OMR), Kelambakkam, Kanchipuram Dist., Tamil Nadu - 603103</t>
  </si>
  <si>
    <t>044-47411012</t>
  </si>
  <si>
    <t>registrar@care.edu.in</t>
  </si>
  <si>
    <t>https://care.edu.in/</t>
  </si>
  <si>
    <t>720-bed teaching hospital, 7 lecture halls, library (20,310+ books), hostel (830+ boys rooms, 400+ girls rooms)</t>
  </si>
  <si>
    <t>Annual tuition Rs 27,00,000; one-time fees (caution deposit, uniform, university registration) Rs 3,30,000 (other_fees, one-time not recurring annual). NRI fee USD 75,000/year. Hostel + mess Rs 3,30,000/yr excluded. College affiliated to Chettinad Academy of Research and Education (deemed university), deemed status awarded 2008. | mbbscouncil.com (https://mbbscouncil.com/listing/chettinad-hospital-and-research-institute-kancheepuram/)</t>
  </si>
  <si>
    <t>Meenakshi Medical College Hospital and Research Institute, Kancheepuram</t>
  </si>
  <si>
    <t>Raasi Nagar, Karrapettai Post, Enathur, Kancheepuram, Tamil Nadu - 631552</t>
  </si>
  <si>
    <t>044-27261337</t>
  </si>
  <si>
    <t>http://www.mmchri.ac.in/</t>
  </si>
  <si>
    <t>1,110-bed tertiary hospital, 24 departments, library (22,000 books), hostel (5 buildings)</t>
  </si>
  <si>
    <t>Annual management-quota tuition Rs 23,00,000; one-time admission Rs 50,000 + miscellaneous Rs 90,000 = Rs 1,40,000 (other_fees, one-time not recurring). Total course fee also cited elsewhere as ~Rs 1.15 crore. NRI fee USD 50,000/year. Hostel &amp; mess Rs 2,50,000/yr excluded (compulsory for 1st-year MBBS). Degree awarded by MAHER (deemed university). | mbbscouncil.com (https://mbbscouncil.com/listing/meenakshi-medical-college-hospital-and-research-institute-kanchipuram/)</t>
  </si>
  <si>
    <t>Saveetha Medical College, Chennai</t>
  </si>
  <si>
    <t>162, Poonamallee High Road, Kuthambakkam, Chennai, Tamil Nadu - 600077</t>
  </si>
  <si>
    <t>044-66726617</t>
  </si>
  <si>
    <t>https://www.saveethamedicalcollege.com/</t>
  </si>
  <si>
    <t>1,600-bed multi-speciality teaching hospital, 4 lecture theatres, auditorium, library (15,000+ books), gym, sports grounds, hostel</t>
  </si>
  <si>
    <t>Annual management-quota tuition Rs 27,00,000; one-time fees: establishment Rs 10,000 + university registration Rs 50,000 + reallocation Rs 5,000 + caution deposit Rs 10,000 = Rs 75,000 (other_fees). Hostel/mess/transport (~Rs 3,16,500/yr combined) excluded. Constituent of Saveetha Institute of Medical and Technical Sciences (SIMATS, deemed university). Total course fee also cited as ~Rs 1.40 crore for 5.5 years. | mbbscouncil.com (https://mbbscouncil.com/listing/saveetha-medical-college/)</t>
  </si>
  <si>
    <t>Shri Sathya Sai Medical College and Research Institute, Chennai</t>
  </si>
  <si>
    <t>Tiruporur-Guduvancherry Main Road, Ammapettai, Nellikuppam, Chengalpet Taluk, Kancheepuram District, Tamil Nadu - 603108</t>
  </si>
  <si>
    <t>044-27440700</t>
  </si>
  <si>
    <t>http://www.sssmcri.ac.in/</t>
  </si>
  <si>
    <t>Sri Sathya Sai Hospital (635-650 beds), 135-acre campus, hostel (318 boys / 286 girls rooms)</t>
  </si>
  <si>
    <t>Annual management-quota tuition Rs 22,00,000; one-time R&amp;D/development fee Rs 1,50,000 (development_fee); one-time other fees (university registration Rs 25,000 + application Rs 2,000 + e-learning Rs 35,000) = Rs 62,000 (other_fees). Health insurance Rs 1,500/yr and hostel (~Rs 1,90,000-2,00,000/yr) excluded. Constituent of Sri Balaji Vidyapeeth (deemed university). One older source cites a much lower Rs 9.5 lakh/yr figure - not used as it appears outdated. | mbbscouncil.com (https://mbbscouncil.com/listing/sri-satya-sai-medical-college/)</t>
  </si>
  <si>
    <t>Sri Balaji Medical College and Hospital, Chennai</t>
  </si>
  <si>
    <t>7, Works Road, Chromepet, Chennai - 600044</t>
  </si>
  <si>
    <t>044-22412018</t>
  </si>
  <si>
    <t>https://www.sbmch.org/</t>
  </si>
  <si>
    <t>Attached teaching hospital; constituent of Bharath Institute of Higher Education and Research (BIHER, deemed university)</t>
  </si>
  <si>
    <t>Annual management-quota tuition Rs 30,50,000 for the 4.5-year MBBS programme (2025-26 official fee document). NRI annual fee USD 60,000. Breakdown of development/other fees not retrievable (PDF not machine-readable via fetch); other_fees/development_fee set to 0 pending verification. | Official fee document (https://sbmch.ac.in/wp-content/uploads/2025/09/UG-PG-COURSE-FEE-DETAILS-2025-2026-2.pdf), via WebSearch summary</t>
  </si>
  <si>
    <t>Sri Ramachandra Medical College and Research Institute, Chennai</t>
  </si>
  <si>
    <t>No.1, Ramachandra Nagar, Porur, Chennai - 600116</t>
  </si>
  <si>
    <t>044-45928500</t>
  </si>
  <si>
    <t>https://www.sriramachandra.edu.in/</t>
  </si>
  <si>
    <t>1800-bed multi-speciality hospital (~2,50,000 OPD/year), 7 hostel complexes, 150-acre campus</t>
  </si>
  <si>
    <t>Annual management-quota tuition Rs 25,00,000 (one source cites Rs 30-35 lakh for the official first-year page - discrepancy noted); college caution deposit Rs 50,000 + hostel caution Rs 50,000 (refundable, excluded) + university registration Rs 5,000 = other_fees Rs 1,05,000 (registration one-time, deposits excluded as refundable). NRI fee cited at USD 260,000/year (likely for full course, not annual - flagged as uncertain). Hostel Rs 2,00,000/yr + mess Rs 50,000/yr excluded. Sri Ramachandra Institute of Higher Education &amp; Research (deemed university). | mbbscouncil.com (https://mbbscouncil.com/listing/sri-ramachandra-medical-college-and-research-institute/)</t>
  </si>
  <si>
    <t>SRM Medical College and Hospital, Chennai</t>
  </si>
  <si>
    <t>Kattankulathur</t>
  </si>
  <si>
    <t>SRM Medical College, SRM Nagar, Kattankulathur, Chennai, Tamil Nadu - 603203</t>
  </si>
  <si>
    <t>044-4743-2350</t>
  </si>
  <si>
    <t>https://medical.srmist.edu.in/</t>
  </si>
  <si>
    <t>1,500-bed NABH-accredited teaching hospital, Level-1 trauma centre, simulation lab, hostels (boys/girls/PG/interns)</t>
  </si>
  <si>
    <t>Annual management-quota tuition Rs 28,00,000; one-time fee Rs 10,000 (other_fees). NRI annual fee USD 50,000. Total course fee also cited as ~Rs 1.26 crore. Seat matrix: 247 general + 3 NRI = 250 total. Medical faculty of SRM Institute of Science &amp; Technology (deemed university). | mbbscouncil.com (https://mbbscouncil.com/listing/srm-medical-college-chennai/)</t>
  </si>
  <si>
    <t>VMKV Medical College and Hospital, Salem</t>
  </si>
  <si>
    <t>Salem</t>
  </si>
  <si>
    <t>Sankari Main Road (NH-47), Ariyanoor, Salem - 636308</t>
  </si>
  <si>
    <t>0427-3500803</t>
  </si>
  <si>
    <t>https://www.vmkvmc.edu.in/</t>
  </si>
  <si>
    <t>Attached teaching hospital, 69.71-acre campus, hostel</t>
  </si>
  <si>
    <t>Annual tuition Rs 22,50,000 for 2025-26 plus application fee Rs 2,000 (other_fees). Constituent of Vinayaka Missions Research Foundation (deemed university). NRI fee not confirmed. | Aggregator (shiksha/mbbscouncil via WebSearch)</t>
  </si>
  <si>
    <t>Bhaarath Medical College and Hospital, Chennai</t>
  </si>
  <si>
    <t>173, Agaram Main Road, Selaiyur, Chennai - 600073</t>
  </si>
  <si>
    <t>044-61116222</t>
  </si>
  <si>
    <t>admissions@bmch.ac.in</t>
  </si>
  <si>
    <t>https://bmch.ac.in/</t>
  </si>
  <si>
    <t>300-bed teaching hospital (20 emergency beds), 4 major + 2 minor OTs, library, hostel, sports</t>
  </si>
  <si>
    <t>Annual management-quota tuition Rs 27,50,000 (other sources cite Rs 20-23.6 lakh, likely older); admission/registration Rs 10,000 one-time (other_fees). NRI annual fee USD 60,000. Hostel (AC Rs 2,00,000 / non-AC Rs 75,000/yr) + mess Rs 66,000/yr + health insurance Rs 3,000 excluded. Constituent of Bhaarath Institute of Higher Education and Research (deemed university). | mbbscouncil.com (https://mbbscouncil.com/listing/bhaarath-medical-college-chennai/), edufever.com</t>
  </si>
  <si>
    <t>VELS Medical College and Hospital, Tiruvallur</t>
  </si>
  <si>
    <t>Tiruvallur</t>
  </si>
  <si>
    <t>12/123, Velan Nagar, Periyapalayam Road, Manjankaranai Village, Uthukkottai Taluk, Tiruvallur - 601102</t>
  </si>
  <si>
    <t>044-35035035</t>
  </si>
  <si>
    <t>https://velsmedicalcollege.com/</t>
  </si>
  <si>
    <t>430-bed tertiary care teaching hospital, 40-acre campus, hostel</t>
  </si>
  <si>
    <t>Management-quota fee reported as approximately Rs 21,00,000/year. NRI seat fee for year 1 given as USD 46,800 (USD 41,800 tuition + USD 5,000 other fees). VELS is a deemed-to-be university (VISTAS). | Aggregator (WebSearch summary of mbbscouncil.com/listing/vels-medical-college-tiruvallur/)</t>
  </si>
  <si>
    <t>Sri Lalithambigai Medical College and Hospital, Chennai</t>
  </si>
  <si>
    <t>Service Road, Adayalampattu, Maduravoyal, Chennai - 600095</t>
  </si>
  <si>
    <t>https://slmch.ac.in/</t>
  </si>
  <si>
    <t>Multi-specialty teaching hospital, hostel</t>
  </si>
  <si>
    <t>Annual tuition reported as Rs 19,00,000; total course fee ~Rs 85.5 lakh. Hostel Rs 2-2.5 lakh/yr excluded. Newly established college (2021), part of a Chennai deemed-university group (affiliation not confirmed in sources - Tamil Nadu Dr MGR Medical University shown in one source, likely erroneous given MCC deemed counselling applicability). | Aggregator estimate (edufever.com https://www.edufever.com/sri-lalithambigai-medical-college-chennai/)</t>
  </si>
  <si>
    <t>J R Medical College, Villupuram</t>
  </si>
  <si>
    <t>Villupuram</t>
  </si>
  <si>
    <t>Avanampattu, Kiledaiyalam Village, Thindivanam Taluk, Villupuram District, Tamil Nadu - 604302</t>
  </si>
  <si>
    <t>+91-4147-290290</t>
  </si>
  <si>
    <t>https://jrmch.ac.in/</t>
  </si>
  <si>
    <t>Multispecialty hospital (595 beds, ~500 daily OPD), library (10,000+ books), hostel, transport</t>
  </si>
  <si>
    <t>Annual management-quota tuition Rs 26,00,000; one-time admission fee Rs 10,000 + university registration Rs 10,000 = Rs 20,000 (other_fees). Refundable caution deposits Rs 50,000+50,000 and hostel room Rs 75,000/yr + mess Rs 6,000/month excluded. Constituent college of Bharath Institute of Higher Education and Research (deemed university), a newly established college (2023). | mbbscouncil.com (https://mbbscouncil.com/listing/jr-medical-college/)</t>
  </si>
  <si>
    <t>Malla Reddy Medical College for Women, Hyderabad</t>
  </si>
  <si>
    <t>Telangana</t>
  </si>
  <si>
    <t>Hyderabad</t>
  </si>
  <si>
    <t>Suraram 'X' Road, Qutbullapur Municipality, Jeedimetla, Hyderabad - 500055</t>
  </si>
  <si>
    <t>08019991106</t>
  </si>
  <si>
    <t>mrmcw777@gmail.com</t>
  </si>
  <si>
    <t>https://mrmcw.edu.in/</t>
  </si>
  <si>
    <t>1,050-bed Malla Reddy Narayana Multispecialty Hospital, hostel</t>
  </si>
  <si>
    <t>Annual management-quota MBBS fee approximately Rs 11,55,000/year - notably lower than most peer deemed colleges; not verified against an official fee notice. Hostel &amp; mess ~Rs 1,50,000/yr excluded. Affiliated to Malla Reddy Vishwavidyapeeth (deemed university). | Aggregator estimate (WebSearch summary via careermarg/edufever)</t>
  </si>
  <si>
    <t>Malla Reddy Institute of Medical Sciences, Hyderabad</t>
  </si>
  <si>
    <t>Sy No. 138, Suraram Main Road, Quthbullapur, Jeedimetla, Hyderabad - 500055</t>
  </si>
  <si>
    <t>040-64583333</t>
  </si>
  <si>
    <t>mallareddyhospital@gmail.com</t>
  </si>
  <si>
    <t>https://mrims.edu.in/</t>
  </si>
  <si>
    <t>1250-bed multi-specialty teaching hospital, hostel</t>
  </si>
  <si>
    <t>Total course tuition given as Rs 96,75,000 over 4.5 years in 5 installments (Rs 21,50,000 x 4 + Rs 10,75,000 final installment) - Rs 21,50,000 used as the representative annual figure. Affiliated to Kaloji Narayana Rao University of Health Sciences but functions as a deemed college for MCC counselling purposes (verify status). NRI/hostel fees not confirmed. | Aggregator estimate (WebSearch summary citing official MRIMS fee notice)</t>
  </si>
  <si>
    <t>Santosh Medical College and Hospital, Ghaziabad</t>
  </si>
  <si>
    <t>Uttar Pradesh</t>
  </si>
  <si>
    <t>Ghaziabad</t>
  </si>
  <si>
    <t>1, Santosh Nagar, Sector 12, Block H, Pratap Vihar, Ghaziabad - 201009</t>
  </si>
  <si>
    <t>https://www.santosh.ac.in/</t>
  </si>
  <si>
    <t>900+ bed teaching hospital; Santosh Deemed to be University (established 2007)</t>
  </si>
  <si>
    <t>Annual MBBS tuition for Indian students Rs 24,00,000; total course fee ~Rs 1.08 crore. NRI annual fee USD 30,650 (hostel included). Hostel/mess for Indian general-quota students excluded and not separately confirmed. | Aggregator (edufever/rmgoe via WebSearch, official page https://www.santosh.ac.in/ug-medical)</t>
  </si>
  <si>
    <t>Graphic Era Institute of Medical Sciences, Dehradun</t>
  </si>
  <si>
    <t>Uttarakhand</t>
  </si>
  <si>
    <t>Dehradun</t>
  </si>
  <si>
    <t>16th Milestone, Chakrata Road, Dehradun, Uttarakhand - 248008</t>
  </si>
  <si>
    <t>18008897351</t>
  </si>
  <si>
    <t>info.geims@geu.ac.in</t>
  </si>
  <si>
    <t>https://geims.geu.ac.in/</t>
  </si>
  <si>
    <t>850+ bed teaching hospital, hostel; Graphic Era Deemed to be University</t>
  </si>
  <si>
    <t>Annual MBBS tuition Rs 24,50,000; one-time university eligibility fee Rs 2,00,000 (non-refundable) + other fees Rs 70,000 = Rs 2,70,000 (other_fees, one-time not annual recurring - flagged). Refundable caution money Rs 50,000 excluded. Hostel (twin-sharing AC) + mess Rs 3,30,000/yr excluded. Newly established college (2024), 100% seats under deemed quota via MCC. | Aggregator (WebSearch summary citing official GEIMS 2025-26 fee notice)</t>
  </si>
  <si>
    <t>Amrita School of Dentistry, Kochi</t>
  </si>
  <si>
    <t>290052</t>
  </si>
  <si>
    <t>362</t>
  </si>
  <si>
    <t>Needs manual review - institute not confidently matched</t>
  </si>
  <si>
    <t>Amrita School of Dentistry, Amrita Health Sciences Campus, Kochi, Kerala 682041</t>
  </si>
  <si>
    <t>0484-2858383</t>
  </si>
  <si>
    <t>https://www.amrita.edu/program/b-d-s/</t>
  </si>
  <si>
    <t>BDS, MDS</t>
  </si>
  <si>
    <t>Attached AIMS teaching hospital, dental clinics/labs, library, hostel</t>
  </si>
  <si>
    <t>Deemed general (non-NRI) BDS seat, MCC 2025-26 (figures from latest published Amrita circular)</t>
  </si>
  <si>
    <t>Tuition Rs 4,00,000/year + other fees Rs 1,43,150/year (total ~Rs 5,43,150/year); hostel &amp; mess Rs 94,000/year excluded. NRI fee US$6,000/year tuition + US$1,600 hostel/mess. Source page listed figures under a 2026-27 circular; 2025-26 figures may be marginally lower. | amrita.edu official BDS program page (amrita.edu/program/b-d-s/)</t>
  </si>
  <si>
    <t>BDS</t>
  </si>
  <si>
    <t>K M Shah Dental College, Sumandeep Vidyapeeth, Vadodara</t>
  </si>
  <si>
    <t>https://dental.sumandeepvidyapeethdu.edu.in/</t>
  </si>
  <si>
    <t>Attached dental hospital, library, labs, hostel</t>
  </si>
  <si>
    <t>Aggregator-reported average annual fee (fixed for all years, includes refundable security deposit). Could not independently verify the official fee-structure page due to a site redirect. | Edufever/moksh16 aggregators - https://www.edufever.com/km-shah-dental-college-vadodara/ ; official fee page (sumandeepvidyapeethdu.edu.in/public/fees-structure-b-d-s) could not be fetched (redirect)</t>
  </si>
  <si>
    <t>No caste-based reservation in MCC deemed-university BDS seats; fee same for all categories.</t>
  </si>
  <si>
    <t>MM College of Dental Science and Research, Mullana</t>
  </si>
  <si>
    <t>https://web.mm-edu.in/</t>
  </si>
  <si>
    <t>Deemed general (non-NRI) seat, MCC 2025-26 (15% AIQ seats via MCC, 85% state quota via Haryana DMER)</t>
  </si>
  <si>
    <t>Annual tuition Rs 3,00,000 + annual university charges Rs 18,300; one-time registration fee Rs 40,000 in Year 1 only (listed under other_fees). Total course fee reported as Rs 13,13,200 over 4 years. | Edufever/aspirantsonly aggregators - https://www.edufever.com/mm-mullana-dental-college/</t>
  </si>
  <si>
    <t>No caste-based reservation on the MCC AIQ deemed seats; state-quota seats follow Haryana government reservation policy but fee is reported uniform.</t>
  </si>
  <si>
    <t>Manav Rachna Dental College, Faridabad</t>
  </si>
  <si>
    <t>Manav Rachna Dental College, Sector 43, Faridabad, Haryana 121004</t>
  </si>
  <si>
    <t>https://www.manavrachna.edu.in/</t>
  </si>
  <si>
    <t>Reported annual fee ranges Rs 4,39,000-4,65,000/yr; midpoint used. Total course fee reported ~Rs 18.1-19.66 lakh including refundable security deposit. | Collegedunia/aspirantsonly aggregators - https://collegedunia.com/college/7689-manav-rachna-dental-college-mrdc-faridabad/courses-fees</t>
  </si>
  <si>
    <t>A.B. Shetty Memorial Institute of Dental Sciences, Mangaluru</t>
  </si>
  <si>
    <t>A.B. Shetty Memorial Institute of Dental Sciences, Deralakatte, Mangaluru, Dakshina Kannada, Karnataka 575018</t>
  </si>
  <si>
    <t>https://nitte.edu.in/absmids/</t>
  </si>
  <si>
    <t>Annualized: reported total course tuition Rs 20,21,000 / 4 yearly installments = Rs 5,05,250/yr (estimate). Total 2025 course fee reported as Rs 20.35 lakh (tuition ~Rs 20.21 lakh) over 4 years; annualized to ~Rs 5.05 lakh/yr not separately confirmed, so total tuition figure retained as-is pending per-year breakup. Hostel Rs 1.1-1.85 lakh excluded. | Collegedunia aggregator - https://collegedunia.com/college/7523-a-b-shetty-memorial-institute-of-dental-sciences-absmids-mangalore/courses-fees</t>
  </si>
  <si>
    <t>No caste-based reservation in MCC deemed-university BDS seats (NITTE group); fee same for all categories.</t>
  </si>
  <si>
    <t>JSS Dental College and Hospital, Jagadguru, Mysuru</t>
  </si>
  <si>
    <t>JSS Dental College and Hospital, Medical Institutions Campus, Bannimantap, Mysuru, Karnataka 570015</t>
  </si>
  <si>
    <t>https://jssdentalcollege.in/</t>
  </si>
  <si>
    <t>Annualized: reported total BDS fee ~Rs 19,45,000 / 4 yearly installments = Rs 4,86,250/yr (estimate; sources vary). Reported total BDS fee ~Rs 19.45-20.7 lakh (figures vary by source and increase yearly); used as total-course figure pending confirmed per-year breakup. | Collegedunia/radicaleducation aggregators - https://collegedunia.com/college/7648-jss-dental-college-and-hospital-jssdch-mysore/courses-fees</t>
  </si>
  <si>
    <t>KLE Vishwanath Katti Institute of Dental Sciences, Belagavi</t>
  </si>
  <si>
    <t>KLE V.K. Institute of Dental Sciences, Nehru Nagar, Belagavi, Karnataka 590010</t>
  </si>
  <si>
    <t>https://kaher.edu.in/</t>
  </si>
  <si>
    <t>Official 2025-26 fee: Yr1 Rs 3,73,000; Yr2-4 Rs 3,68,000 each (no 5th-year fee, BDS internship unpaid). NRI fee: Yr1 $12,500; Yr2-4 $11,000 each. Latest full-year figure (Yr1) used. | KAHER official fee notice (23/06/2025) - https://kaher.edu.in/wp-content/uploads/2025/06/UG-MBBS-BDS-BAMS-BHMS-Fees-2025-26.pdf</t>
  </si>
  <si>
    <t>Manipal College of Dental Science, Manipal</t>
  </si>
  <si>
    <t>Manipal College of Dental Sciences, Madhav Nagar, Manipal, Udupi, Karnataka 576104</t>
  </si>
  <si>
    <t>https://manipal.edu/mcods-manipal.html</t>
  </si>
  <si>
    <t>Official MAHE general-category (non-NRI) fee, per-year installment: tuition + other fee. BDS 5 yrs, 4 yearly installments; total course Rs 22,10,000; refundable caution deposit Rs 10,000 excluded | MAHE official Course Fees 2025-26, General Category (manipal.edu/content/dam/manipal/mu/documents/Admissions/adm2025/FEES UPDATION - GENERAL.pdf)</t>
  </si>
  <si>
    <t>Manipal College of Dental Science, Mangalore</t>
  </si>
  <si>
    <t>Manipal College of Dental Sciences, Light House Hill Road, Mangaluru, Karnataka 575001</t>
  </si>
  <si>
    <t>https://manipal.edu/mcods-mangalore.html</t>
  </si>
  <si>
    <t>Official MAHE general-category (non-NRI) fee, per-year installment: tuition + other fee. BDS 5 yrs, 4 yearly installments; total course Rs 19,70,000; refundable caution deposit Rs 10,000 excluded | MAHE official Course Fees 2025-26, General Category (manipal.edu/content/dam/manipal/mu/documents/Admissions/adm2025/FEES UPDATION - GENERAL.pdf)</t>
  </si>
  <si>
    <t>Sri Siddhartha Dental College, Tumkur</t>
  </si>
  <si>
    <t>Sri Siddhartha Dental College, Agalakote, B.H. Road, Tumakuru, Karnataka 572107</t>
  </si>
  <si>
    <t>Private/management seat, MCC 2025-26</t>
  </si>
  <si>
    <t>Sources conflict on structure: one cites government-quota Rs 95,800/yr vs private-seat Rs 3.01 lakh/yr vs NRI Rs 8.01 lakh/yr; another cites total 5-year tuition of only Rs 12,04,000. Private-seat annual figure (Rs 3,01,000) used as the closest match to a general/management MCC seat. Seat intake also reported inconsistently (40 total / 18 per year) versus the commonly quoted 100; flagged as uncertain. | Careers360/dentalfry aggregators - https://www.careers360.com/colleges/sri-siddhartha-dental-college-tumkur/bds-course</t>
  </si>
  <si>
    <t>No caste-based reservation on MCC deemed-university BDS seats; fee same for all categories. Seat and fee figures for this specific college were the least consistent across sources; verify with SSAHE directly.</t>
  </si>
  <si>
    <t>Yenepoya Dental College, Yenepoya</t>
  </si>
  <si>
    <t>Yenepoya Dental College, University Road, Deralakatte, Mangaluru, Karnataka 575018</t>
  </si>
  <si>
    <t>https://www.yenepoya.edu.in/</t>
  </si>
  <si>
    <t>Attached dental hospital, library, labs, compulsory hostel</t>
  </si>
  <si>
    <t>Deemed general (non-NRI) seat, MCC 2024-25 (latest official fee PDF found)</t>
  </si>
  <si>
    <t>Official 2024-25 installments Rs 5,76,000 + 4,90,000 + 4,80,000 + 4,80,000 (total Rs 20,26,000); first-year installment used as annual fee. Official 2024-25 total BDS tuition (4 installments): Rs 5,76,000 + 4,90,000 + 4,80,000 + 4,80,000 = Rs 20,26,000 total course; used total as tuition_fee since a clean annual figure was not separately broken out (development/other = 0). NRI total fee: Rs 25,26,000 (installments 6,51,000+6,25,000+6,25,000+6,25,000). Hostel is compulsory and billed separately (excluded). | Official Yenepoya fee PDF (2024-25) - https://www.yenepoya.edu.in/img/pdf/2024-2025-Fee-Structure-BDS.pdf</t>
  </si>
  <si>
    <t>No caste-based reservation on MCC deemed-university BDS seats; fee same for all categories.</t>
  </si>
  <si>
    <t>Bharati Vidyapeeth Dental College and Hospital, Pune</t>
  </si>
  <si>
    <t>Bharati Vidyapeeth Educational Campus, Pune-Satara Road, Dhankawadi, Pune - 411043, Maharashtra</t>
  </si>
  <si>
    <t>020-24373266</t>
  </si>
  <si>
    <t>dchpune@bharatividyapeeth.edu</t>
  </si>
  <si>
    <t>https://www.bvuniversity.edu.in/dchpune/</t>
  </si>
  <si>
    <t>Dental hospital with OPD, computer labs, library, auditorium, hostel</t>
  </si>
  <si>
    <t>Deemed general (non-NRI) BDS seat, MCC 2025-26 (secondary source estimate)</t>
  </si>
  <si>
    <t>Figure approximate (~Rs 5,00,000/year tuition) from secondary source; official circular could not be read directly. NRI fee not confirmed for this specific campus. | edufever.com/bvdu-dental-college-pune/ (secondary aggregator; official BVDU circular no.497 2025-26 PDF exists but was not text-extractable)</t>
  </si>
  <si>
    <t>Bharati Vidyapeeth Dental College and Hospital, Navi Mumbai</t>
  </si>
  <si>
    <t>Sector-7, C.B.D., Belapur, Navi Mumbai - 400614, Maharashtra</t>
  </si>
  <si>
    <t>022-27564654</t>
  </si>
  <si>
    <t>https://www.bvuniversity.edu.in/dchmumbai/</t>
  </si>
  <si>
    <t>Attached dental hospital, boys &amp; girls hostel with mess</t>
  </si>
  <si>
    <t>Deemed general (non-NRI) BDS seat, MCC 2025-26</t>
  </si>
  <si>
    <t>Rs 5,91,250/year is the published total annual tuition fee (no separate development fee line published). NRI fee US$22,000/year. Hostel fee separate (~Rs 96,000-1,66,000/year depending on room type). | Official BVDU Dental College Navi Mumbai fee circular BVDU/DCH/NM/353/2025-26 (bvuniversity.edu.in), dated 11 June 2025</t>
  </si>
  <si>
    <t>Bharati Vidyapeeth Dental College and Hospital, Sangli</t>
  </si>
  <si>
    <t>https://www.bvuniversity.edu.in/dchsangli/</t>
  </si>
  <si>
    <t>Dental hospital, hostel</t>
  </si>
  <si>
    <t>Approximate figure ~Rs 4,14,750/year; total 4-year course fee cited as ~Rs 16.59 lakh. Official circular could not be read directly. | Shiksha/aggregator via web search (Bharati Vidyapeeth Dental College Sangli fees page); official circular no.498 2025-26 PDF not text-extractable</t>
  </si>
  <si>
    <t>Dr. D.Y. Patil Dental College and Hospital, Navi Mumbai</t>
  </si>
  <si>
    <t>Dr D Y Patil Vidyanagar, Sector 7, Nerul, Navi Mumbai - 400706, Maharashtra</t>
  </si>
  <si>
    <t>https://dypatil.edu/programs/under-graduate/dentistry/school-of-dentistry</t>
  </si>
  <si>
    <t>Dental hospital with 428 dental chairs, hostel</t>
  </si>
  <si>
    <t>Deemed general (non-NRI) BDS seat, MCC 2025-26 (secondary source)</t>
  </si>
  <si>
    <t>Figure ~Rs 8,75,000/year (1st-year fee) from secondary sources; official circular not directly accessed. | Secondary aggregators (careeredwise.com, edufever.com); official DY Patil dental fee PDF for Navi Mumbai not located</t>
  </si>
  <si>
    <t>Dr. D.Y. Patil Dental College and Hospital, Pune</t>
  </si>
  <si>
    <t>020-27805600</t>
  </si>
  <si>
    <t>https://dental.dpu.edu.in/</t>
  </si>
  <si>
    <t>Dental hospital, boys &amp; girls hostel</t>
  </si>
  <si>
    <t>Tuition Rs 6,50,000/year (increases 3% annually). University Eligibility Fee = 15% of annual tuition, 1st year only (one-time, excluded). Hostel incl. mess Rs 3,05,000/year excluded. NRI fee US$17,000/year. | Official Dr. D.Y. Patil Dental College &amp; Hospital Pune fee circular (dental.dpu.edu.in/documents/bds-fee-structure-2025-26.pdf)</t>
  </si>
  <si>
    <t>Rural Dental College, Loni</t>
  </si>
  <si>
    <t>Attached dental hospital, hostel</t>
  </si>
  <si>
    <t>All India Merit/Management/Paid seats (85% of intake), official PIMS 2025-26 circular</t>
  </si>
  <si>
    <t>Tuition Rs 3,50,000/year (Rural Dental College), fixed for 3 years then BDS fees rise 10% from 2028-29. One-time eligibility fee = 5% of tuition, excluded. NRI/PIO/FN category (15% of seats) fee US$20,590/year. | Official Pravara Institute of Medical Sciences Notification No.21/2025 dated 12 June 2025 (pravara.com/pdf/Notification_2025_26_of_Fee_Structure.pdf)</t>
  </si>
  <si>
    <t>MCC deemed-university counselling has no caste-based reservation; fee is uniform across categories for the general (non-NRI) deemed/paid seat.</t>
  </si>
  <si>
    <t>School of Dental Sciences and KIMSDU, Karad</t>
  </si>
  <si>
    <t>Krishna Institute of Medical Sciences Deemed University, Karad, Dist. Satara, Maharashtra - 415110</t>
  </si>
  <si>
    <t>Deemed general quota (85 of 100 seats), official KIMSDU circular</t>
  </si>
  <si>
    <t>Tuition Rs 4,25,000/year, general quota. One-time eligibility fee Rs50,000 + refundable caution deposit Rs25,000 excluded. NRI quota (15 of 100 seats) fee $7,000/year. Hostel fee (separate) Rs70,000/year + refundable deposit Rs25,000. | Official KIMSDU BDS fee structure PDF (kimskarad.in/documents/307/FEE_STRUCTURE_FOR_BDS.pdf)</t>
  </si>
  <si>
    <t>MCC deemed-university counselling has no caste-based reservation; fee is uniform across categories for the general (non-NRI) deemed seat (85 of 100 total seats; 15 are a separate NRI quota, not a caste category).</t>
  </si>
  <si>
    <t>Sharad Pawar Dental College and Hospital, Wardha</t>
  </si>
  <si>
    <t>https://www.dmiher.edu.in/about-spdc</t>
  </si>
  <si>
    <t>Figure ~Rs 4,75,000/year average annual fee cited by secondary aggregator; official circular could not be located. | edufever.com/sharad-pawar-dental-college-wardha (secondary aggregator; official DMIHER fee circular not directly located)</t>
  </si>
  <si>
    <t>Institute of Dental Sciences, Bhubaneswar</t>
  </si>
  <si>
    <t>Institute of Dental Sciences, Siksha 'O' Anusandhan (Deemed to be University), Kalinga Nagar, Ghatikia, Bhubaneswar - 751003, Odisha</t>
  </si>
  <si>
    <t>https://www.soa.ac.in/ids</t>
  </si>
  <si>
    <t>Deemed general (non-NRI) BDS seat, MCC 2025-26 (total course fee divided by years)</t>
  </si>
  <si>
    <t>Total BDS course fee cited as ~Rs 30.38 lakh over 4 years; divided to estimate annual tuition ~Rs 7,59,500. Development/other fee line-items not available from sources found. | collegedunia.com secondary aggregator; SOA's own fee notice for 2025-26 (soa.ac.in/ids notice board) was referenced but the PDF text could not be read directly</t>
  </si>
  <si>
    <t>MCC deemed-university counselling has no caste-based reservation on deemed seats; 15 of 100 seats are reserved as All-India Quota (separate govt-fee route), not a caste category.</t>
  </si>
  <si>
    <t>Kalinga Institute of Dental Sciences, Bhubaneswar</t>
  </si>
  <si>
    <t>Kalinga Institute of Dental Sciences, KIIT (Deemed to be University), Campus-5, Patia, Bhubaneswar - 751024, Odisha</t>
  </si>
  <si>
    <t>0674-2725053</t>
  </si>
  <si>
    <t>principal.kids@kiit.ac.in</t>
  </si>
  <si>
    <t>https://kids.kiit.ac.in/</t>
  </si>
  <si>
    <t>268 dental chairs, air-conditioned lecture theatres, well-equipped laboratories, advanced operation theatres, hostel</t>
  </si>
  <si>
    <t>Deemed general (non-NRI) BDS seat, MCC 2025-26 (secondary sources conflict)</t>
  </si>
  <si>
    <t>Sources vary: Rs 5.5 lakh/year, Rs 6.5 lakh/year, or ~Rs 6.5 lakh/year implied by a cited Rs 26 lakh total-course figure divided by 4 years; used Rs 6,50,000/year as the middle/most-repeated figure. | Secondary aggregators (shiksha.com, dentalfry.com); official KIIT fee circular not directly located</t>
  </si>
  <si>
    <t>Indira Gandhi Dental College and Sri Balaji Vidyapeeth, Puducherry</t>
  </si>
  <si>
    <t>Pillayarkuppam, Puducherry - 607402</t>
  </si>
  <si>
    <t>https://igids.ac.in/</t>
  </si>
  <si>
    <t>Hostel, sports grounds, banks/ATM, medical aid; on-campus constituent college of Sri Balaji Vidyapeeth</t>
  </si>
  <si>
    <t>Sources give widely conflicting BDS figures (Rs 7.5 lakh for 4 years, Rs 3.25 lakh for 5 years total, Rs 12 lakh tuition) with no reliable annual 2025-26 figure found; not used to avoid inventing data. Recommend checking igids.ac.in directly. | Conflicting aggregator figures - collegedunia (https://collegedunia.com/college/7644-indira-gandhi-institute-of-dental-sciences-igids-pondicherry), edufever (https://www.edufever.com/igids-pondicherry/)</t>
  </si>
  <si>
    <t>MCC deemed-university counselling has no caste-based reservation; fee expected identical across categories, but not confirmed due to unreliable fee data.</t>
  </si>
  <si>
    <t>Meenakshi Ammal Dental College and Hospital, Chennai</t>
  </si>
  <si>
    <t>Alapakkam Main Road, Janaki Nagar, Maduravoyal, Chennai, Tamil Nadu - 600095</t>
  </si>
  <si>
    <t>https://images.maher.ac.in/</t>
  </si>
  <si>
    <t>Attached dental hospital; constituent of Meenakshi Academy of Higher Education and Research (MAHER, deemed university)</t>
  </si>
  <si>
    <t>Annualized: reported total BDS course fee Rs 22,00,000 / 4 = Rs 5,50,000/yr (estimate; could not confirm annual vs full-course). Total BDS tuition reported as Rs 22,00,000 for the course (caution deposit, exam fee, security deposit included per source); could not confirm whether this is annual or full-course, and could not extract the official PDF breakdown - treated as an annual approximation pending verification. Official 2025-26 fee PDF exists at images.maher.ac.in but was not machine-readable. | Official MAHER fee notice PDF (https://images.maher.ac.in/wp-content/uploads/2025/08/MEENAKSHI-AMMAL-DENTAL-COLLEGE-AND-HOSPITAL.pdf, could not be parsed for line-item breakdown), aggregated via edufever/collegedunia</t>
  </si>
  <si>
    <t>Sathyabama University Dental College and Hospital, Chennai</t>
  </si>
  <si>
    <t>Semmancheri, Sithalapakkam, Chennai, Tamil Nadu - 600119</t>
  </si>
  <si>
    <t>https://www.sathyabama.ac.in/academics/schools/school-dental-sciences</t>
  </si>
  <si>
    <t>Attached dental hospital; part of Sathyabama Institute of Science and Technology (deemed university)</t>
  </si>
  <si>
    <t>Total BDS course fee reported as Rs 22,50,000 over 5 years; divided by 5 to give an annual estimate of Rs 4,50,000. One other source (independent college-info site) cites a much higher Rs 8.5 lakh/year figure - not used due to lower reliability; flagged as uncertain. | Aggregator estimate (https://www.edufever.com/sathyabama-dental-college-chennai/, collegedekho.com); total course fee reported as Rs 22.5 lakh for 5 years</t>
  </si>
  <si>
    <t>Saveetha Dental College, Chennai</t>
  </si>
  <si>
    <t>162, Poonamallee High Road, Chennai - 600077</t>
  </si>
  <si>
    <t>044-26801580</t>
  </si>
  <si>
    <t>https://saveethadental.com/</t>
  </si>
  <si>
    <t>Attached dental hospital, NIRF #1 dental college (2022); part of Saveetha Institute of Medical and Technical Sciences (SIMATS, deemed university)</t>
  </si>
  <si>
    <t>Sources conflict: one gives annual tuition Rs 9,10,000 (total course Rs 45,50,000 over 5 yrs); another gives Rs 8,00,000/year; another gives total course Rs 34,40,000 (~Rs 8.6 lakh/yr if over 4 yrs). Used Rs 9,10,000 as a representative figure - treat as approximate. NRI fee cited as USD 15,000/year. Hostel Rs 22,000-1,50,000/yr excluded. | Aggregator estimate (edufever/getmyuni via WebSearch); conflicting figures also seen on collegedunia/propelld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</si>
</sst>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Cambria"/>
      <charset val="134"/>
    </font>
    <font>
      <sz val="10"/>
      <name val="Arial"/>
      <charset val="134"/>
    </font>
    <font>
      <sz val="10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2C"/>
        <bgColor rgb="FF1F4E2C"/>
      </patternFill>
    </fill>
    <fill>
      <patternFill patternType="solid">
        <fgColor rgb="FFE2EFDA"/>
        <bgColor indexed="64"/>
      </patternFill>
    </fill>
    <fill>
      <patternFill patternType="solid">
        <fgColor rgb="FFFADBD8"/>
        <bgColor rgb="FFFADBD8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8" borderId="6">
      <alignment vertical="center"/>
    </xf>
    <xf numFmtId="0" fontId="14" fillId="9" borderId="7">
      <alignment vertical="center"/>
    </xf>
    <xf numFmtId="0" fontId="15" fillId="9" borderId="6">
      <alignment vertical="center"/>
    </xf>
    <xf numFmtId="0" fontId="16" fillId="10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3" fillId="0" borderId="1" xfId="0" applyFont="1" applyBorder="1"/>
    <xf numFmtId="180" fontId="3" fillId="0" borderId="1" xfId="0" applyNumberFormat="1" applyFont="1" applyBorder="1"/>
    <xf numFmtId="0" fontId="4" fillId="5" borderId="2" xfId="0" applyFont="1" applyFill="1" applyBorder="1"/>
    <xf numFmtId="0" fontId="3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3"/>
  <sheetViews>
    <sheetView tabSelected="1" workbookViewId="0">
      <pane ySplit="1" topLeftCell="A2" activePane="bottomLeft" state="frozen"/>
      <selection/>
      <selection pane="bottomLeft" activeCell="Q28" sqref="Q28"/>
    </sheetView>
  </sheetViews>
  <sheetFormatPr defaultColWidth="9" defaultRowHeight="14.4"/>
  <cols>
    <col min="1" max="1" width="8" customWidth="1"/>
    <col min="2" max="2" width="55" customWidth="1"/>
    <col min="3" max="3" width="16" customWidth="1"/>
    <col min="4" max="4" width="12" customWidth="1"/>
    <col min="5" max="5" width="11" customWidth="1"/>
    <col min="6" max="6" width="45" customWidth="1"/>
    <col min="7" max="7" width="22" customWidth="1"/>
    <col min="8" max="8" width="12" customWidth="1"/>
    <col min="9" max="10" width="16" customWidth="1"/>
    <col min="11" max="11" width="50" customWidth="1"/>
    <col min="12" max="12" width="24" customWidth="1"/>
    <col min="13" max="13" width="30" customWidth="1"/>
    <col min="14" max="14" width="34" customWidth="1"/>
    <col min="15" max="15" width="10" customWidth="1"/>
    <col min="16" max="16" width="40" customWidth="1"/>
    <col min="17" max="17" width="50" customWidth="1"/>
    <col min="18" max="22" width="13" customWidth="1"/>
    <col min="23" max="23" width="26" customWidth="1"/>
    <col min="24" max="24" width="50" customWidth="1"/>
    <col min="25" max="29" width="13" customWidth="1"/>
    <col min="30" max="30" width="50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3" t="s">
        <v>29</v>
      </c>
      <c r="B2" s="4" t="s">
        <v>30</v>
      </c>
      <c r="C2" s="5" t="s">
        <v>31</v>
      </c>
      <c r="D2" s="5">
        <v>604120</v>
      </c>
      <c r="E2" s="5">
        <v>298</v>
      </c>
      <c r="F2" s="6" t="s">
        <v>32</v>
      </c>
      <c r="G2" s="7" t="s">
        <v>33</v>
      </c>
      <c r="H2" s="7">
        <v>2015</v>
      </c>
      <c r="I2" s="7" t="s">
        <v>34</v>
      </c>
      <c r="J2" s="7" t="s">
        <v>31</v>
      </c>
      <c r="K2" s="7" t="s">
        <v>35</v>
      </c>
      <c r="L2" s="7"/>
      <c r="M2" s="7"/>
      <c r="N2" s="7" t="s">
        <v>36</v>
      </c>
      <c r="O2" s="7">
        <v>150</v>
      </c>
      <c r="P2" s="7" t="s">
        <v>29</v>
      </c>
      <c r="Q2" s="7" t="s">
        <v>37</v>
      </c>
      <c r="R2" s="7" t="s">
        <v>38</v>
      </c>
      <c r="S2" s="8">
        <v>2537000</v>
      </c>
      <c r="T2" s="8">
        <v>0</v>
      </c>
      <c r="U2" s="8">
        <v>0</v>
      </c>
      <c r="V2" s="8">
        <f t="shared" ref="V2:V65" si="0">IF(COUNT(S2:U2)=0,"",SUM(S2:U2))</f>
        <v>2537000</v>
      </c>
      <c r="W2" s="7" t="s">
        <v>39</v>
      </c>
      <c r="X2" s="7" t="s">
        <v>40</v>
      </c>
      <c r="Y2" s="8">
        <v>2537000</v>
      </c>
      <c r="Z2" s="8">
        <v>2537000</v>
      </c>
      <c r="AA2" s="8">
        <v>2537000</v>
      </c>
      <c r="AB2" s="8">
        <v>2537000</v>
      </c>
      <c r="AC2" s="8">
        <v>2537000</v>
      </c>
      <c r="AD2" s="7" t="s">
        <v>41</v>
      </c>
    </row>
    <row r="3" spans="1:30">
      <c r="A3" s="3" t="s">
        <v>29</v>
      </c>
      <c r="B3" s="4" t="s">
        <v>42</v>
      </c>
      <c r="C3" s="5" t="s">
        <v>43</v>
      </c>
      <c r="D3" s="5">
        <v>70072</v>
      </c>
      <c r="E3" s="5">
        <v>516</v>
      </c>
      <c r="F3" s="6" t="s">
        <v>32</v>
      </c>
      <c r="G3" s="7" t="s">
        <v>44</v>
      </c>
      <c r="H3" s="7">
        <v>1989</v>
      </c>
      <c r="I3" s="7" t="s">
        <v>45</v>
      </c>
      <c r="J3" s="7" t="s">
        <v>43</v>
      </c>
      <c r="K3" s="7" t="s">
        <v>46</v>
      </c>
      <c r="L3" s="7"/>
      <c r="M3" s="7"/>
      <c r="N3" s="7" t="s">
        <v>47</v>
      </c>
      <c r="O3" s="7">
        <v>150</v>
      </c>
      <c r="P3" s="7" t="s">
        <v>29</v>
      </c>
      <c r="Q3" s="7" t="s">
        <v>48</v>
      </c>
      <c r="R3" s="7" t="s">
        <v>38</v>
      </c>
      <c r="S3" s="8">
        <v>1318545</v>
      </c>
      <c r="T3" s="8">
        <v>0</v>
      </c>
      <c r="U3" s="8">
        <v>0</v>
      </c>
      <c r="V3" s="8">
        <f t="shared" si="0"/>
        <v>1318545</v>
      </c>
      <c r="W3" s="7" t="s">
        <v>39</v>
      </c>
      <c r="X3" s="7" t="s">
        <v>49</v>
      </c>
      <c r="Y3" s="8">
        <v>1318545</v>
      </c>
      <c r="Z3" s="8">
        <v>1318545</v>
      </c>
      <c r="AA3" s="8">
        <v>1318545</v>
      </c>
      <c r="AB3" s="8">
        <v>1318545</v>
      </c>
      <c r="AC3" s="8">
        <v>1318545</v>
      </c>
      <c r="AD3" s="7" t="s">
        <v>50</v>
      </c>
    </row>
    <row r="4" spans="1:30">
      <c r="A4" s="3" t="s">
        <v>29</v>
      </c>
      <c r="B4" s="4" t="s">
        <v>51</v>
      </c>
      <c r="C4" s="5" t="s">
        <v>52</v>
      </c>
      <c r="D4" s="5">
        <v>528721</v>
      </c>
      <c r="E4" s="5">
        <v>318</v>
      </c>
      <c r="F4" s="6" t="s">
        <v>32</v>
      </c>
      <c r="G4" s="7" t="s">
        <v>33</v>
      </c>
      <c r="H4" s="7">
        <v>2002</v>
      </c>
      <c r="I4" s="7" t="s">
        <v>53</v>
      </c>
      <c r="J4" s="7" t="s">
        <v>52</v>
      </c>
      <c r="K4" s="7" t="s">
        <v>54</v>
      </c>
      <c r="L4" s="7" t="s">
        <v>55</v>
      </c>
      <c r="M4" s="7" t="s">
        <v>56</v>
      </c>
      <c r="N4" s="7" t="s">
        <v>57</v>
      </c>
      <c r="O4" s="7">
        <v>150</v>
      </c>
      <c r="P4" s="7" t="s">
        <v>29</v>
      </c>
      <c r="Q4" s="7" t="s">
        <v>58</v>
      </c>
      <c r="R4" s="7" t="s">
        <v>38</v>
      </c>
      <c r="S4" s="8">
        <v>2300000</v>
      </c>
      <c r="T4" s="8">
        <v>0</v>
      </c>
      <c r="U4" s="8">
        <v>0</v>
      </c>
      <c r="V4" s="8">
        <f t="shared" si="0"/>
        <v>2300000</v>
      </c>
      <c r="W4" s="7" t="s">
        <v>59</v>
      </c>
      <c r="X4" s="7" t="s">
        <v>60</v>
      </c>
      <c r="Y4" s="8">
        <v>2300000</v>
      </c>
      <c r="Z4" s="8">
        <v>2300000</v>
      </c>
      <c r="AA4" s="8">
        <v>2300000</v>
      </c>
      <c r="AB4" s="8">
        <v>2300000</v>
      </c>
      <c r="AC4" s="8">
        <v>2300000</v>
      </c>
      <c r="AD4" s="7" t="s">
        <v>61</v>
      </c>
    </row>
    <row r="5" spans="1:30">
      <c r="A5" s="3" t="s">
        <v>29</v>
      </c>
      <c r="B5" s="4" t="s">
        <v>62</v>
      </c>
      <c r="C5" s="5" t="s">
        <v>63</v>
      </c>
      <c r="D5" s="5">
        <v>366214</v>
      </c>
      <c r="E5" s="5">
        <v>366</v>
      </c>
      <c r="F5" s="6" t="s">
        <v>32</v>
      </c>
      <c r="G5" s="7" t="s">
        <v>33</v>
      </c>
      <c r="H5" s="7"/>
      <c r="I5" s="7" t="s">
        <v>64</v>
      </c>
      <c r="J5" s="7" t="s">
        <v>63</v>
      </c>
      <c r="K5" s="7" t="s">
        <v>65</v>
      </c>
      <c r="L5" s="7"/>
      <c r="M5" s="7"/>
      <c r="N5" s="7" t="s">
        <v>66</v>
      </c>
      <c r="O5" s="7">
        <v>150</v>
      </c>
      <c r="P5" s="7" t="s">
        <v>29</v>
      </c>
      <c r="Q5" s="7" t="s">
        <v>67</v>
      </c>
      <c r="R5" s="7" t="s">
        <v>38</v>
      </c>
      <c r="S5" s="8">
        <v>1765000</v>
      </c>
      <c r="T5" s="8">
        <v>0</v>
      </c>
      <c r="U5" s="8">
        <v>0</v>
      </c>
      <c r="V5" s="8">
        <f t="shared" si="0"/>
        <v>1765000</v>
      </c>
      <c r="W5" s="7" t="s">
        <v>59</v>
      </c>
      <c r="X5" s="7" t="s">
        <v>68</v>
      </c>
      <c r="Y5" s="8">
        <v>1765000</v>
      </c>
      <c r="Z5" s="8">
        <v>1765000</v>
      </c>
      <c r="AA5" s="8">
        <v>1765000</v>
      </c>
      <c r="AB5" s="8">
        <v>1765000</v>
      </c>
      <c r="AC5" s="8">
        <v>1765000</v>
      </c>
      <c r="AD5" s="7" t="s">
        <v>61</v>
      </c>
    </row>
    <row r="6" spans="1:30">
      <c r="A6" s="3" t="s">
        <v>29</v>
      </c>
      <c r="B6" s="4" t="s">
        <v>69</v>
      </c>
      <c r="C6" s="5" t="s">
        <v>63</v>
      </c>
      <c r="D6" s="5">
        <v>255782</v>
      </c>
      <c r="E6" s="5">
        <v>407</v>
      </c>
      <c r="F6" s="6" t="s">
        <v>32</v>
      </c>
      <c r="G6" s="7" t="s">
        <v>33</v>
      </c>
      <c r="H6" s="7"/>
      <c r="I6" s="7" t="s">
        <v>70</v>
      </c>
      <c r="J6" s="7" t="s">
        <v>63</v>
      </c>
      <c r="K6" s="7" t="s">
        <v>71</v>
      </c>
      <c r="L6" s="7"/>
      <c r="M6" s="7"/>
      <c r="N6" s="7" t="s">
        <v>72</v>
      </c>
      <c r="O6" s="7">
        <v>150</v>
      </c>
      <c r="P6" s="7" t="s">
        <v>29</v>
      </c>
      <c r="Q6" s="7" t="s">
        <v>73</v>
      </c>
      <c r="R6" s="7" t="s">
        <v>38</v>
      </c>
      <c r="S6" s="8">
        <v>1850000</v>
      </c>
      <c r="T6" s="8">
        <v>0</v>
      </c>
      <c r="U6" s="8">
        <v>0</v>
      </c>
      <c r="V6" s="8">
        <f t="shared" si="0"/>
        <v>1850000</v>
      </c>
      <c r="W6" s="7" t="s">
        <v>59</v>
      </c>
      <c r="X6" s="7" t="s">
        <v>74</v>
      </c>
      <c r="Y6" s="8">
        <v>1850000</v>
      </c>
      <c r="Z6" s="8">
        <v>1850000</v>
      </c>
      <c r="AA6" s="8">
        <v>1850000</v>
      </c>
      <c r="AB6" s="8">
        <v>1850000</v>
      </c>
      <c r="AC6" s="8">
        <v>1850000</v>
      </c>
      <c r="AD6" s="7" t="s">
        <v>61</v>
      </c>
    </row>
    <row r="7" spans="1:30">
      <c r="A7" s="3" t="s">
        <v>29</v>
      </c>
      <c r="B7" s="4" t="s">
        <v>75</v>
      </c>
      <c r="C7" s="5" t="s">
        <v>76</v>
      </c>
      <c r="D7" s="5">
        <v>90912</v>
      </c>
      <c r="E7" s="5">
        <v>499</v>
      </c>
      <c r="F7" s="6" t="s">
        <v>32</v>
      </c>
      <c r="G7" s="7" t="s">
        <v>33</v>
      </c>
      <c r="H7" s="7"/>
      <c r="I7" s="7" t="s">
        <v>77</v>
      </c>
      <c r="J7" s="7" t="s">
        <v>76</v>
      </c>
      <c r="K7" s="7" t="s">
        <v>78</v>
      </c>
      <c r="L7" s="7"/>
      <c r="M7" s="7"/>
      <c r="N7" s="7" t="s">
        <v>79</v>
      </c>
      <c r="O7" s="7">
        <v>150</v>
      </c>
      <c r="P7" s="7" t="s">
        <v>29</v>
      </c>
      <c r="Q7" s="7" t="s">
        <v>80</v>
      </c>
      <c r="R7" s="7" t="s">
        <v>38</v>
      </c>
      <c r="S7" s="8">
        <v>1210000</v>
      </c>
      <c r="T7" s="8">
        <v>0</v>
      </c>
      <c r="U7" s="8">
        <v>399000</v>
      </c>
      <c r="V7" s="8">
        <f t="shared" si="0"/>
        <v>1609000</v>
      </c>
      <c r="W7" s="7" t="s">
        <v>39</v>
      </c>
      <c r="X7" s="7" t="s">
        <v>81</v>
      </c>
      <c r="Y7" s="8">
        <v>1609000</v>
      </c>
      <c r="Z7" s="8">
        <v>1609000</v>
      </c>
      <c r="AA7" s="8">
        <v>1609000</v>
      </c>
      <c r="AB7" s="8">
        <v>1609000</v>
      </c>
      <c r="AC7" s="8">
        <v>1609000</v>
      </c>
      <c r="AD7" s="7" t="s">
        <v>82</v>
      </c>
    </row>
    <row r="8" spans="1:30">
      <c r="A8" s="3" t="s">
        <v>29</v>
      </c>
      <c r="B8" s="4" t="s">
        <v>83</v>
      </c>
      <c r="C8" s="5" t="s">
        <v>84</v>
      </c>
      <c r="D8" s="5">
        <v>294456</v>
      </c>
      <c r="E8" s="5">
        <v>392</v>
      </c>
      <c r="F8" s="6" t="s">
        <v>32</v>
      </c>
      <c r="G8" s="7" t="s">
        <v>33</v>
      </c>
      <c r="H8" s="7"/>
      <c r="I8" s="7" t="s">
        <v>85</v>
      </c>
      <c r="J8" s="7" t="s">
        <v>84</v>
      </c>
      <c r="K8" s="7" t="s">
        <v>86</v>
      </c>
      <c r="L8" s="7"/>
      <c r="M8" s="7"/>
      <c r="N8" s="7" t="s">
        <v>87</v>
      </c>
      <c r="O8" s="7">
        <v>250</v>
      </c>
      <c r="P8" s="7" t="s">
        <v>29</v>
      </c>
      <c r="Q8" s="7" t="s">
        <v>88</v>
      </c>
      <c r="R8" s="7" t="s">
        <v>38</v>
      </c>
      <c r="S8" s="8"/>
      <c r="T8" s="8"/>
      <c r="U8" s="8"/>
      <c r="V8" s="8" t="str">
        <f t="shared" si="0"/>
        <v/>
      </c>
      <c r="W8" s="7" t="s">
        <v>59</v>
      </c>
      <c r="X8" s="7" t="s">
        <v>89</v>
      </c>
      <c r="Y8" s="8"/>
      <c r="Z8" s="8"/>
      <c r="AA8" s="8"/>
      <c r="AB8" s="8"/>
      <c r="AC8" s="8"/>
      <c r="AD8" s="7" t="s">
        <v>90</v>
      </c>
    </row>
    <row r="9" spans="1:30">
      <c r="A9" s="3" t="s">
        <v>29</v>
      </c>
      <c r="B9" s="4" t="s">
        <v>91</v>
      </c>
      <c r="C9" s="5" t="s">
        <v>84</v>
      </c>
      <c r="D9" s="5">
        <v>181223</v>
      </c>
      <c r="E9" s="5">
        <v>442</v>
      </c>
      <c r="F9" s="6" t="s">
        <v>32</v>
      </c>
      <c r="G9" s="7" t="s">
        <v>33</v>
      </c>
      <c r="H9" s="7"/>
      <c r="I9" s="7" t="s">
        <v>92</v>
      </c>
      <c r="J9" s="7" t="s">
        <v>84</v>
      </c>
      <c r="K9" s="7" t="s">
        <v>93</v>
      </c>
      <c r="L9" s="7"/>
      <c r="M9" s="7"/>
      <c r="N9" s="7" t="s">
        <v>94</v>
      </c>
      <c r="O9" s="7">
        <v>200</v>
      </c>
      <c r="P9" s="7" t="s">
        <v>29</v>
      </c>
      <c r="Q9" s="7" t="s">
        <v>95</v>
      </c>
      <c r="R9" s="7" t="s">
        <v>38</v>
      </c>
      <c r="S9" s="8">
        <v>1920000</v>
      </c>
      <c r="T9" s="8">
        <v>0</v>
      </c>
      <c r="U9" s="8">
        <v>0</v>
      </c>
      <c r="V9" s="8">
        <f t="shared" si="0"/>
        <v>1920000</v>
      </c>
      <c r="W9" s="7" t="s">
        <v>96</v>
      </c>
      <c r="X9" s="7" t="s">
        <v>97</v>
      </c>
      <c r="Y9" s="8">
        <v>1920000</v>
      </c>
      <c r="Z9" s="8">
        <v>1920000</v>
      </c>
      <c r="AA9" s="8">
        <v>1920000</v>
      </c>
      <c r="AB9" s="8">
        <v>1920000</v>
      </c>
      <c r="AC9" s="8">
        <v>1920000</v>
      </c>
      <c r="AD9" s="7" t="s">
        <v>98</v>
      </c>
    </row>
    <row r="10" spans="1:30">
      <c r="A10" s="3" t="s">
        <v>29</v>
      </c>
      <c r="B10" s="4" t="s">
        <v>99</v>
      </c>
      <c r="C10" s="5" t="s">
        <v>84</v>
      </c>
      <c r="D10" s="5">
        <v>154521</v>
      </c>
      <c r="E10" s="5">
        <v>457</v>
      </c>
      <c r="F10" s="6" t="s">
        <v>32</v>
      </c>
      <c r="G10" s="7" t="s">
        <v>33</v>
      </c>
      <c r="H10" s="7">
        <v>1984</v>
      </c>
      <c r="I10" s="7" t="s">
        <v>100</v>
      </c>
      <c r="J10" s="7" t="s">
        <v>84</v>
      </c>
      <c r="K10" s="7" t="s">
        <v>101</v>
      </c>
      <c r="L10" s="7"/>
      <c r="M10" s="7"/>
      <c r="N10" s="7" t="s">
        <v>102</v>
      </c>
      <c r="O10" s="7">
        <v>200</v>
      </c>
      <c r="P10" s="7" t="s">
        <v>29</v>
      </c>
      <c r="Q10" s="7" t="s">
        <v>103</v>
      </c>
      <c r="R10" s="7" t="s">
        <v>38</v>
      </c>
      <c r="S10" s="8">
        <v>1850000</v>
      </c>
      <c r="T10" s="8">
        <v>200000</v>
      </c>
      <c r="U10" s="8">
        <v>0</v>
      </c>
      <c r="V10" s="8">
        <f t="shared" si="0"/>
        <v>2050000</v>
      </c>
      <c r="W10" s="7" t="s">
        <v>104</v>
      </c>
      <c r="X10" s="7" t="s">
        <v>105</v>
      </c>
      <c r="Y10" s="8">
        <v>2050000</v>
      </c>
      <c r="Z10" s="8">
        <v>2050000</v>
      </c>
      <c r="AA10" s="8">
        <v>2050000</v>
      </c>
      <c r="AB10" s="8">
        <v>2050000</v>
      </c>
      <c r="AC10" s="8">
        <v>2050000</v>
      </c>
      <c r="AD10" s="7" t="s">
        <v>106</v>
      </c>
    </row>
    <row r="11" spans="1:30">
      <c r="A11" s="3" t="s">
        <v>29</v>
      </c>
      <c r="B11" s="4" t="s">
        <v>107</v>
      </c>
      <c r="C11" s="5" t="s">
        <v>84</v>
      </c>
      <c r="D11" s="5">
        <v>165856</v>
      </c>
      <c r="E11" s="5">
        <v>451</v>
      </c>
      <c r="F11" s="6" t="s">
        <v>32</v>
      </c>
      <c r="G11" s="7" t="s">
        <v>33</v>
      </c>
      <c r="H11" s="7"/>
      <c r="I11" s="7" t="s">
        <v>108</v>
      </c>
      <c r="J11" s="7" t="s">
        <v>84</v>
      </c>
      <c r="K11" s="7" t="s">
        <v>109</v>
      </c>
      <c r="L11" s="7"/>
      <c r="M11" s="7"/>
      <c r="N11" s="7" t="s">
        <v>110</v>
      </c>
      <c r="O11" s="7">
        <v>150</v>
      </c>
      <c r="P11" s="7" t="s">
        <v>29</v>
      </c>
      <c r="Q11" s="7" t="s">
        <v>111</v>
      </c>
      <c r="R11" s="7" t="s">
        <v>38</v>
      </c>
      <c r="S11" s="8"/>
      <c r="T11" s="8"/>
      <c r="U11" s="8"/>
      <c r="V11" s="8" t="str">
        <f t="shared" si="0"/>
        <v/>
      </c>
      <c r="W11" s="7" t="s">
        <v>39</v>
      </c>
      <c r="X11" s="7" t="s">
        <v>112</v>
      </c>
      <c r="Y11" s="8"/>
      <c r="Z11" s="8"/>
      <c r="AA11" s="8"/>
      <c r="AB11" s="8"/>
      <c r="AC11" s="8"/>
      <c r="AD11" s="7" t="s">
        <v>113</v>
      </c>
    </row>
    <row r="12" spans="1:30">
      <c r="A12" s="3" t="s">
        <v>29</v>
      </c>
      <c r="B12" s="4" t="s">
        <v>114</v>
      </c>
      <c r="C12" s="5" t="s">
        <v>84</v>
      </c>
      <c r="D12" s="5">
        <v>59030</v>
      </c>
      <c r="E12" s="5">
        <v>526</v>
      </c>
      <c r="F12" s="6" t="s">
        <v>32</v>
      </c>
      <c r="G12" s="7" t="s">
        <v>33</v>
      </c>
      <c r="H12" s="7">
        <v>1955</v>
      </c>
      <c r="I12" s="7" t="s">
        <v>108</v>
      </c>
      <c r="J12" s="7" t="s">
        <v>84</v>
      </c>
      <c r="K12" s="7" t="s">
        <v>115</v>
      </c>
      <c r="L12" s="7"/>
      <c r="M12" s="7"/>
      <c r="N12" s="7" t="s">
        <v>116</v>
      </c>
      <c r="O12" s="7">
        <v>250</v>
      </c>
      <c r="P12" s="7" t="s">
        <v>29</v>
      </c>
      <c r="Q12" s="7" t="s">
        <v>117</v>
      </c>
      <c r="R12" s="7" t="s">
        <v>38</v>
      </c>
      <c r="S12" s="8">
        <v>1099000</v>
      </c>
      <c r="T12" s="8">
        <v>0</v>
      </c>
      <c r="U12" s="8">
        <v>671000</v>
      </c>
      <c r="V12" s="8">
        <f t="shared" si="0"/>
        <v>1770000</v>
      </c>
      <c r="W12" s="7" t="s">
        <v>39</v>
      </c>
      <c r="X12" s="7" t="s">
        <v>118</v>
      </c>
      <c r="Y12" s="8">
        <v>1770000</v>
      </c>
      <c r="Z12" s="8">
        <v>1770000</v>
      </c>
      <c r="AA12" s="8">
        <v>1770000</v>
      </c>
      <c r="AB12" s="8">
        <v>1770000</v>
      </c>
      <c r="AC12" s="8">
        <v>1770000</v>
      </c>
      <c r="AD12" s="7" t="s">
        <v>82</v>
      </c>
    </row>
    <row r="13" spans="1:30">
      <c r="A13" s="3" t="s">
        <v>29</v>
      </c>
      <c r="B13" s="4" t="s">
        <v>119</v>
      </c>
      <c r="C13" s="5" t="s">
        <v>84</v>
      </c>
      <c r="D13" s="5">
        <v>42815</v>
      </c>
      <c r="E13" s="5">
        <v>543</v>
      </c>
      <c r="F13" s="6" t="s">
        <v>32</v>
      </c>
      <c r="G13" s="7" t="s">
        <v>33</v>
      </c>
      <c r="H13" s="7">
        <v>1953</v>
      </c>
      <c r="I13" s="7" t="s">
        <v>120</v>
      </c>
      <c r="J13" s="7" t="s">
        <v>84</v>
      </c>
      <c r="K13" s="7" t="s">
        <v>121</v>
      </c>
      <c r="L13" s="7"/>
      <c r="M13" s="7"/>
      <c r="N13" s="7" t="s">
        <v>122</v>
      </c>
      <c r="O13" s="7">
        <v>250</v>
      </c>
      <c r="P13" s="7" t="s">
        <v>29</v>
      </c>
      <c r="Q13" s="7" t="s">
        <v>117</v>
      </c>
      <c r="R13" s="7" t="s">
        <v>38</v>
      </c>
      <c r="S13" s="8">
        <v>1099000</v>
      </c>
      <c r="T13" s="8">
        <v>0</v>
      </c>
      <c r="U13" s="8">
        <v>671000</v>
      </c>
      <c r="V13" s="8">
        <f t="shared" si="0"/>
        <v>1770000</v>
      </c>
      <c r="W13" s="7" t="s">
        <v>39</v>
      </c>
      <c r="X13" s="7" t="s">
        <v>118</v>
      </c>
      <c r="Y13" s="8">
        <v>1770000</v>
      </c>
      <c r="Z13" s="8">
        <v>1770000</v>
      </c>
      <c r="AA13" s="8">
        <v>1770000</v>
      </c>
      <c r="AB13" s="8">
        <v>1770000</v>
      </c>
      <c r="AC13" s="8">
        <v>1770000</v>
      </c>
      <c r="AD13" s="7" t="s">
        <v>82</v>
      </c>
    </row>
    <row r="14" spans="1:30">
      <c r="A14" s="3" t="s">
        <v>29</v>
      </c>
      <c r="B14" s="4" t="s">
        <v>123</v>
      </c>
      <c r="C14" s="5" t="s">
        <v>84</v>
      </c>
      <c r="D14" s="5">
        <v>292821</v>
      </c>
      <c r="E14" s="5">
        <v>392</v>
      </c>
      <c r="F14" s="6" t="s">
        <v>32</v>
      </c>
      <c r="G14" s="7" t="s">
        <v>33</v>
      </c>
      <c r="H14" s="7"/>
      <c r="I14" s="7" t="s">
        <v>124</v>
      </c>
      <c r="J14" s="7" t="s">
        <v>84</v>
      </c>
      <c r="K14" s="7" t="s">
        <v>125</v>
      </c>
      <c r="L14" s="7"/>
      <c r="M14" s="7"/>
      <c r="N14" s="7" t="s">
        <v>126</v>
      </c>
      <c r="O14" s="7">
        <v>150</v>
      </c>
      <c r="P14" s="7" t="s">
        <v>29</v>
      </c>
      <c r="Q14" s="7" t="s">
        <v>127</v>
      </c>
      <c r="R14" s="7" t="s">
        <v>38</v>
      </c>
      <c r="S14" s="8">
        <v>1760000</v>
      </c>
      <c r="T14" s="8">
        <v>0</v>
      </c>
      <c r="U14" s="8">
        <v>0</v>
      </c>
      <c r="V14" s="8">
        <f t="shared" si="0"/>
        <v>1760000</v>
      </c>
      <c r="W14" s="7" t="s">
        <v>128</v>
      </c>
      <c r="X14" s="7" t="s">
        <v>129</v>
      </c>
      <c r="Y14" s="8">
        <v>1760000</v>
      </c>
      <c r="Z14" s="8">
        <v>1760000</v>
      </c>
      <c r="AA14" s="8">
        <v>1760000</v>
      </c>
      <c r="AB14" s="8">
        <v>1760000</v>
      </c>
      <c r="AC14" s="8">
        <v>1760000</v>
      </c>
      <c r="AD14" s="7" t="s">
        <v>130</v>
      </c>
    </row>
    <row r="15" spans="1:30">
      <c r="A15" s="3" t="s">
        <v>29</v>
      </c>
      <c r="B15" s="4" t="s">
        <v>131</v>
      </c>
      <c r="C15" s="5" t="s">
        <v>84</v>
      </c>
      <c r="D15" s="5">
        <v>353346</v>
      </c>
      <c r="E15" s="5">
        <v>370</v>
      </c>
      <c r="F15" s="6" t="s">
        <v>32</v>
      </c>
      <c r="G15" s="7" t="s">
        <v>33</v>
      </c>
      <c r="H15" s="7"/>
      <c r="I15" s="7" t="s">
        <v>132</v>
      </c>
      <c r="J15" s="7" t="s">
        <v>84</v>
      </c>
      <c r="K15" s="7" t="s">
        <v>133</v>
      </c>
      <c r="L15" s="7"/>
      <c r="M15" s="7"/>
      <c r="N15" s="7" t="s">
        <v>134</v>
      </c>
      <c r="O15" s="7">
        <v>250</v>
      </c>
      <c r="P15" s="7" t="s">
        <v>29</v>
      </c>
      <c r="Q15" s="7" t="s">
        <v>135</v>
      </c>
      <c r="R15" s="7" t="s">
        <v>38</v>
      </c>
      <c r="S15" s="8">
        <v>1880000</v>
      </c>
      <c r="T15" s="8">
        <v>0</v>
      </c>
      <c r="U15" s="8">
        <v>0</v>
      </c>
      <c r="V15" s="8">
        <f t="shared" si="0"/>
        <v>1880000</v>
      </c>
      <c r="W15" s="7" t="s">
        <v>136</v>
      </c>
      <c r="X15" s="7" t="s">
        <v>137</v>
      </c>
      <c r="Y15" s="8">
        <v>1880000</v>
      </c>
      <c r="Z15" s="8">
        <v>1880000</v>
      </c>
      <c r="AA15" s="8">
        <v>1880000</v>
      </c>
      <c r="AB15" s="8">
        <v>1880000</v>
      </c>
      <c r="AC15" s="8">
        <v>1880000</v>
      </c>
      <c r="AD15" s="7" t="s">
        <v>138</v>
      </c>
    </row>
    <row r="16" spans="1:30">
      <c r="A16" s="3" t="s">
        <v>29</v>
      </c>
      <c r="B16" s="4" t="s">
        <v>139</v>
      </c>
      <c r="C16" s="5" t="s">
        <v>84</v>
      </c>
      <c r="D16" s="5">
        <v>375767</v>
      </c>
      <c r="E16" s="5">
        <v>363</v>
      </c>
      <c r="F16" s="6" t="s">
        <v>32</v>
      </c>
      <c r="G16" s="7" t="s">
        <v>33</v>
      </c>
      <c r="H16" s="7">
        <v>1999</v>
      </c>
      <c r="I16" s="7" t="s">
        <v>108</v>
      </c>
      <c r="J16" s="7" t="s">
        <v>84</v>
      </c>
      <c r="K16" s="7" t="s">
        <v>140</v>
      </c>
      <c r="L16" s="7"/>
      <c r="M16" s="7"/>
      <c r="N16" s="7" t="s">
        <v>141</v>
      </c>
      <c r="O16" s="7">
        <v>250</v>
      </c>
      <c r="P16" s="7" t="s">
        <v>29</v>
      </c>
      <c r="Q16" s="7" t="s">
        <v>142</v>
      </c>
      <c r="R16" s="7" t="s">
        <v>38</v>
      </c>
      <c r="S16" s="8">
        <v>2300000</v>
      </c>
      <c r="T16" s="8">
        <v>0</v>
      </c>
      <c r="U16" s="8">
        <v>0</v>
      </c>
      <c r="V16" s="8">
        <f t="shared" si="0"/>
        <v>2300000</v>
      </c>
      <c r="W16" s="7" t="s">
        <v>39</v>
      </c>
      <c r="X16" s="7" t="s">
        <v>143</v>
      </c>
      <c r="Y16" s="8">
        <v>2300000</v>
      </c>
      <c r="Z16" s="8">
        <v>2300000</v>
      </c>
      <c r="AA16" s="8">
        <v>2300000</v>
      </c>
      <c r="AB16" s="8">
        <v>2300000</v>
      </c>
      <c r="AC16" s="8">
        <v>2300000</v>
      </c>
      <c r="AD16" s="7" t="s">
        <v>144</v>
      </c>
    </row>
    <row r="17" spans="1:30">
      <c r="A17" s="3" t="s">
        <v>29</v>
      </c>
      <c r="B17" s="4" t="s">
        <v>145</v>
      </c>
      <c r="C17" s="5" t="s">
        <v>84</v>
      </c>
      <c r="D17" s="5">
        <v>460645</v>
      </c>
      <c r="E17" s="5">
        <v>337</v>
      </c>
      <c r="F17" s="6" t="s">
        <v>32</v>
      </c>
      <c r="G17" s="7" t="s">
        <v>33</v>
      </c>
      <c r="H17" s="7"/>
      <c r="I17" s="7" t="s">
        <v>146</v>
      </c>
      <c r="J17" s="7" t="s">
        <v>84</v>
      </c>
      <c r="K17" s="7" t="s">
        <v>147</v>
      </c>
      <c r="L17" s="7"/>
      <c r="M17" s="7"/>
      <c r="N17" s="7" t="s">
        <v>148</v>
      </c>
      <c r="O17" s="7">
        <v>250</v>
      </c>
      <c r="P17" s="7" t="s">
        <v>29</v>
      </c>
      <c r="Q17" s="7" t="s">
        <v>149</v>
      </c>
      <c r="R17" s="7" t="s">
        <v>38</v>
      </c>
      <c r="S17" s="8">
        <v>2350000</v>
      </c>
      <c r="T17" s="8">
        <v>0</v>
      </c>
      <c r="U17" s="8">
        <v>0</v>
      </c>
      <c r="V17" s="8">
        <f t="shared" si="0"/>
        <v>2350000</v>
      </c>
      <c r="W17" s="7" t="s">
        <v>128</v>
      </c>
      <c r="X17" s="7" t="s">
        <v>150</v>
      </c>
      <c r="Y17" s="8">
        <v>2350000</v>
      </c>
      <c r="Z17" s="8">
        <v>2350000</v>
      </c>
      <c r="AA17" s="8">
        <v>2350000</v>
      </c>
      <c r="AB17" s="8">
        <v>2350000</v>
      </c>
      <c r="AC17" s="8">
        <v>2350000</v>
      </c>
      <c r="AD17" s="7" t="s">
        <v>130</v>
      </c>
    </row>
    <row r="18" spans="1:30">
      <c r="A18" s="3" t="s">
        <v>29</v>
      </c>
      <c r="B18" s="4" t="s">
        <v>151</v>
      </c>
      <c r="C18" s="5" t="s">
        <v>84</v>
      </c>
      <c r="D18" s="5">
        <v>419640</v>
      </c>
      <c r="E18" s="5">
        <v>349</v>
      </c>
      <c r="F18" s="6" t="s">
        <v>32</v>
      </c>
      <c r="G18" s="7" t="s">
        <v>33</v>
      </c>
      <c r="H18" s="7"/>
      <c r="I18" s="7" t="s">
        <v>132</v>
      </c>
      <c r="J18" s="7" t="s">
        <v>84</v>
      </c>
      <c r="K18" s="7" t="s">
        <v>152</v>
      </c>
      <c r="L18" s="7"/>
      <c r="M18" s="7"/>
      <c r="N18" s="7" t="s">
        <v>134</v>
      </c>
      <c r="O18" s="7">
        <v>150</v>
      </c>
      <c r="P18" s="7" t="s">
        <v>29</v>
      </c>
      <c r="Q18" s="7" t="s">
        <v>37</v>
      </c>
      <c r="R18" s="7" t="s">
        <v>38</v>
      </c>
      <c r="S18" s="8">
        <v>1880000</v>
      </c>
      <c r="T18" s="8">
        <v>0</v>
      </c>
      <c r="U18" s="8">
        <v>0</v>
      </c>
      <c r="V18" s="8">
        <f t="shared" si="0"/>
        <v>1880000</v>
      </c>
      <c r="W18" s="7" t="s">
        <v>153</v>
      </c>
      <c r="X18" s="7" t="s">
        <v>154</v>
      </c>
      <c r="Y18" s="8">
        <v>1880000</v>
      </c>
      <c r="Z18" s="8">
        <v>1880000</v>
      </c>
      <c r="AA18" s="8">
        <v>1880000</v>
      </c>
      <c r="AB18" s="8">
        <v>1880000</v>
      </c>
      <c r="AC18" s="8">
        <v>1880000</v>
      </c>
      <c r="AD18" s="7" t="s">
        <v>138</v>
      </c>
    </row>
    <row r="19" spans="1:30">
      <c r="A19" s="3" t="s">
        <v>29</v>
      </c>
      <c r="B19" s="4" t="s">
        <v>155</v>
      </c>
      <c r="C19" s="5" t="s">
        <v>84</v>
      </c>
      <c r="D19" s="5">
        <v>419036</v>
      </c>
      <c r="E19" s="5">
        <v>349</v>
      </c>
      <c r="F19" s="6" t="s">
        <v>32</v>
      </c>
      <c r="G19" s="7" t="s">
        <v>33</v>
      </c>
      <c r="H19" s="7">
        <v>2021</v>
      </c>
      <c r="I19" s="7" t="s">
        <v>156</v>
      </c>
      <c r="J19" s="7" t="s">
        <v>84</v>
      </c>
      <c r="K19" s="7" t="s">
        <v>157</v>
      </c>
      <c r="L19" s="7" t="s">
        <v>158</v>
      </c>
      <c r="M19" s="7"/>
      <c r="N19" s="7" t="s">
        <v>159</v>
      </c>
      <c r="O19" s="7">
        <v>200</v>
      </c>
      <c r="P19" s="7" t="s">
        <v>29</v>
      </c>
      <c r="Q19" s="7" t="s">
        <v>160</v>
      </c>
      <c r="R19" s="7" t="s">
        <v>38</v>
      </c>
      <c r="S19" s="8">
        <v>1760000</v>
      </c>
      <c r="T19" s="8">
        <v>0</v>
      </c>
      <c r="U19" s="8">
        <v>0</v>
      </c>
      <c r="V19" s="8">
        <f t="shared" si="0"/>
        <v>1760000</v>
      </c>
      <c r="W19" s="7" t="s">
        <v>96</v>
      </c>
      <c r="X19" s="7" t="s">
        <v>161</v>
      </c>
      <c r="Y19" s="8">
        <v>1760000</v>
      </c>
      <c r="Z19" s="8">
        <v>1760000</v>
      </c>
      <c r="AA19" s="8">
        <v>1760000</v>
      </c>
      <c r="AB19" s="8">
        <v>1760000</v>
      </c>
      <c r="AC19" s="8">
        <v>1760000</v>
      </c>
      <c r="AD19" s="7" t="s">
        <v>98</v>
      </c>
    </row>
    <row r="20" spans="1:30">
      <c r="A20" s="3" t="s">
        <v>29</v>
      </c>
      <c r="B20" s="4" t="s">
        <v>162</v>
      </c>
      <c r="C20" s="5" t="s">
        <v>163</v>
      </c>
      <c r="D20" s="5">
        <v>257880</v>
      </c>
      <c r="E20" s="5">
        <v>406</v>
      </c>
      <c r="F20" s="6" t="s">
        <v>32</v>
      </c>
      <c r="G20" s="7" t="s">
        <v>33</v>
      </c>
      <c r="H20" s="7">
        <v>2002</v>
      </c>
      <c r="I20" s="7" t="s">
        <v>164</v>
      </c>
      <c r="J20" s="7" t="s">
        <v>163</v>
      </c>
      <c r="K20" s="7" t="s">
        <v>165</v>
      </c>
      <c r="L20" s="7" t="s">
        <v>166</v>
      </c>
      <c r="M20" s="7" t="s">
        <v>167</v>
      </c>
      <c r="N20" s="7" t="s">
        <v>168</v>
      </c>
      <c r="O20" s="7">
        <v>149</v>
      </c>
      <c r="P20" s="7" t="s">
        <v>169</v>
      </c>
      <c r="Q20" s="7" t="s">
        <v>170</v>
      </c>
      <c r="R20" s="7" t="s">
        <v>38</v>
      </c>
      <c r="S20" s="8">
        <v>2500000</v>
      </c>
      <c r="T20" s="8">
        <v>0</v>
      </c>
      <c r="U20" s="8">
        <v>88000</v>
      </c>
      <c r="V20" s="8">
        <f t="shared" si="0"/>
        <v>2588000</v>
      </c>
      <c r="W20" s="7" t="s">
        <v>171</v>
      </c>
      <c r="X20" s="7" t="s">
        <v>172</v>
      </c>
      <c r="Y20" s="8">
        <v>2588000</v>
      </c>
      <c r="Z20" s="8">
        <v>2588000</v>
      </c>
      <c r="AA20" s="8">
        <v>2588000</v>
      </c>
      <c r="AB20" s="8">
        <v>2588000</v>
      </c>
      <c r="AC20" s="8">
        <v>2588000</v>
      </c>
      <c r="AD20" s="7" t="s">
        <v>173</v>
      </c>
    </row>
    <row r="21" spans="1:30">
      <c r="A21" s="3" t="s">
        <v>29</v>
      </c>
      <c r="B21" s="4" t="s">
        <v>174</v>
      </c>
      <c r="C21" s="5" t="s">
        <v>175</v>
      </c>
      <c r="D21" s="5">
        <v>600808</v>
      </c>
      <c r="E21" s="5">
        <v>299</v>
      </c>
      <c r="F21" s="6" t="s">
        <v>32</v>
      </c>
      <c r="G21" s="7" t="s">
        <v>176</v>
      </c>
      <c r="H21" s="7">
        <v>2005</v>
      </c>
      <c r="I21" s="7" t="s">
        <v>177</v>
      </c>
      <c r="J21" s="7" t="s">
        <v>175</v>
      </c>
      <c r="K21" s="7" t="s">
        <v>178</v>
      </c>
      <c r="L21" s="7" t="s">
        <v>179</v>
      </c>
      <c r="M21" s="7"/>
      <c r="N21" s="7" t="s">
        <v>180</v>
      </c>
      <c r="O21" s="7">
        <v>150</v>
      </c>
      <c r="P21" s="7" t="s">
        <v>181</v>
      </c>
      <c r="Q21" s="7" t="s">
        <v>182</v>
      </c>
      <c r="R21" s="7" t="s">
        <v>38</v>
      </c>
      <c r="S21" s="8">
        <v>2320500</v>
      </c>
      <c r="T21" s="8">
        <v>232050</v>
      </c>
      <c r="U21" s="8">
        <v>0</v>
      </c>
      <c r="V21" s="8">
        <f t="shared" si="0"/>
        <v>2552550</v>
      </c>
      <c r="W21" s="7" t="s">
        <v>171</v>
      </c>
      <c r="X21" s="7" t="s">
        <v>183</v>
      </c>
      <c r="Y21" s="8">
        <v>2552550</v>
      </c>
      <c r="Z21" s="8">
        <v>2552550</v>
      </c>
      <c r="AA21" s="8">
        <v>2552550</v>
      </c>
      <c r="AB21" s="8">
        <v>2552550</v>
      </c>
      <c r="AC21" s="8">
        <v>2552550</v>
      </c>
      <c r="AD21" s="7" t="s">
        <v>173</v>
      </c>
    </row>
    <row r="22" spans="1:30">
      <c r="A22" s="3" t="s">
        <v>29</v>
      </c>
      <c r="B22" s="4" t="s">
        <v>184</v>
      </c>
      <c r="C22" s="5" t="s">
        <v>175</v>
      </c>
      <c r="D22" s="5">
        <v>501263</v>
      </c>
      <c r="E22" s="5">
        <v>325</v>
      </c>
      <c r="F22" s="6" t="s">
        <v>32</v>
      </c>
      <c r="G22" s="7" t="s">
        <v>176</v>
      </c>
      <c r="H22" s="7">
        <v>1989</v>
      </c>
      <c r="I22" s="7" t="s">
        <v>185</v>
      </c>
      <c r="J22" s="7" t="s">
        <v>175</v>
      </c>
      <c r="K22" s="7" t="s">
        <v>186</v>
      </c>
      <c r="L22" s="7" t="s">
        <v>187</v>
      </c>
      <c r="M22" s="7"/>
      <c r="N22" s="7" t="s">
        <v>188</v>
      </c>
      <c r="O22" s="7">
        <v>150</v>
      </c>
      <c r="P22" s="7" t="s">
        <v>169</v>
      </c>
      <c r="Q22" s="7" t="s">
        <v>189</v>
      </c>
      <c r="R22" s="7" t="s">
        <v>38</v>
      </c>
      <c r="S22" s="8">
        <v>2596000</v>
      </c>
      <c r="T22" s="8">
        <v>259600</v>
      </c>
      <c r="U22" s="8">
        <v>0</v>
      </c>
      <c r="V22" s="8">
        <f t="shared" si="0"/>
        <v>2855600</v>
      </c>
      <c r="W22" s="7" t="s">
        <v>171</v>
      </c>
      <c r="X22" s="7" t="s">
        <v>190</v>
      </c>
      <c r="Y22" s="8">
        <v>2855600</v>
      </c>
      <c r="Z22" s="8">
        <v>2855600</v>
      </c>
      <c r="AA22" s="8">
        <v>2855600</v>
      </c>
      <c r="AB22" s="8">
        <v>2855600</v>
      </c>
      <c r="AC22" s="8">
        <v>2855600</v>
      </c>
      <c r="AD22" s="7" t="s">
        <v>173</v>
      </c>
    </row>
    <row r="23" spans="1:30">
      <c r="A23" s="3" t="s">
        <v>29</v>
      </c>
      <c r="B23" s="4" t="s">
        <v>191</v>
      </c>
      <c r="C23" s="5" t="s">
        <v>175</v>
      </c>
      <c r="D23" s="5">
        <v>459613</v>
      </c>
      <c r="E23" s="5">
        <v>337</v>
      </c>
      <c r="F23" s="6" t="s">
        <v>32</v>
      </c>
      <c r="G23" s="7" t="s">
        <v>33</v>
      </c>
      <c r="H23" s="7">
        <v>1996</v>
      </c>
      <c r="I23" s="7" t="s">
        <v>185</v>
      </c>
      <c r="J23" s="7" t="s">
        <v>175</v>
      </c>
      <c r="K23" s="7" t="s">
        <v>192</v>
      </c>
      <c r="L23" s="7" t="s">
        <v>193</v>
      </c>
      <c r="M23" s="7"/>
      <c r="N23" s="7" t="s">
        <v>194</v>
      </c>
      <c r="O23" s="7">
        <v>250</v>
      </c>
      <c r="P23" s="7" t="s">
        <v>169</v>
      </c>
      <c r="Q23" s="7" t="s">
        <v>195</v>
      </c>
      <c r="R23" s="7" t="s">
        <v>38</v>
      </c>
      <c r="S23" s="8">
        <v>2700000</v>
      </c>
      <c r="T23" s="8">
        <v>0</v>
      </c>
      <c r="U23" s="8">
        <v>0</v>
      </c>
      <c r="V23" s="8">
        <f t="shared" si="0"/>
        <v>2700000</v>
      </c>
      <c r="W23" s="7" t="s">
        <v>171</v>
      </c>
      <c r="X23" s="7" t="s">
        <v>196</v>
      </c>
      <c r="Y23" s="8">
        <v>2700000</v>
      </c>
      <c r="Z23" s="8">
        <v>2700000</v>
      </c>
      <c r="AA23" s="8">
        <v>2700000</v>
      </c>
      <c r="AB23" s="8">
        <v>2700000</v>
      </c>
      <c r="AC23" s="8">
        <v>2700000</v>
      </c>
      <c r="AD23" s="7" t="s">
        <v>173</v>
      </c>
    </row>
    <row r="24" spans="1:30">
      <c r="A24" s="3" t="s">
        <v>29</v>
      </c>
      <c r="B24" s="4" t="s">
        <v>197</v>
      </c>
      <c r="C24" s="5" t="s">
        <v>175</v>
      </c>
      <c r="D24" s="5">
        <v>510432</v>
      </c>
      <c r="E24" s="5">
        <v>323</v>
      </c>
      <c r="F24" s="6" t="s">
        <v>32</v>
      </c>
      <c r="G24" s="7" t="s">
        <v>33</v>
      </c>
      <c r="H24" s="7">
        <v>1989</v>
      </c>
      <c r="I24" s="7" t="s">
        <v>198</v>
      </c>
      <c r="J24" s="7" t="s">
        <v>175</v>
      </c>
      <c r="K24" s="7" t="s">
        <v>199</v>
      </c>
      <c r="L24" s="7" t="s">
        <v>200</v>
      </c>
      <c r="M24" s="7" t="s">
        <v>201</v>
      </c>
      <c r="N24" s="7" t="s">
        <v>202</v>
      </c>
      <c r="O24" s="7">
        <v>250</v>
      </c>
      <c r="P24" s="7" t="s">
        <v>181</v>
      </c>
      <c r="Q24" s="7" t="s">
        <v>203</v>
      </c>
      <c r="R24" s="7" t="s">
        <v>38</v>
      </c>
      <c r="S24" s="8">
        <v>2700000</v>
      </c>
      <c r="T24" s="8">
        <v>0</v>
      </c>
      <c r="U24" s="8">
        <v>0</v>
      </c>
      <c r="V24" s="8">
        <f t="shared" si="0"/>
        <v>2700000</v>
      </c>
      <c r="W24" s="7" t="s">
        <v>204</v>
      </c>
      <c r="X24" s="7" t="s">
        <v>205</v>
      </c>
      <c r="Y24" s="8">
        <v>2700000</v>
      </c>
      <c r="Z24" s="8">
        <v>2700000</v>
      </c>
      <c r="AA24" s="8">
        <v>2700000</v>
      </c>
      <c r="AB24" s="8">
        <v>2700000</v>
      </c>
      <c r="AC24" s="8">
        <v>2700000</v>
      </c>
      <c r="AD24" s="7" t="s">
        <v>173</v>
      </c>
    </row>
    <row r="25" spans="1:30">
      <c r="A25" s="3" t="s">
        <v>29</v>
      </c>
      <c r="B25" s="4" t="s">
        <v>206</v>
      </c>
      <c r="C25" s="5" t="s">
        <v>175</v>
      </c>
      <c r="D25" s="5">
        <v>466435</v>
      </c>
      <c r="E25" s="5">
        <v>335</v>
      </c>
      <c r="F25" s="6" t="s">
        <v>32</v>
      </c>
      <c r="G25" s="7" t="s">
        <v>33</v>
      </c>
      <c r="H25" s="7"/>
      <c r="I25" s="7" t="s">
        <v>207</v>
      </c>
      <c r="J25" s="7" t="s">
        <v>175</v>
      </c>
      <c r="K25" s="7" t="s">
        <v>208</v>
      </c>
      <c r="L25" s="7" t="s">
        <v>209</v>
      </c>
      <c r="M25" s="7" t="s">
        <v>210</v>
      </c>
      <c r="N25" s="7" t="s">
        <v>211</v>
      </c>
      <c r="O25" s="7">
        <v>150</v>
      </c>
      <c r="P25" s="7" t="s">
        <v>181</v>
      </c>
      <c r="Q25" s="7" t="s">
        <v>212</v>
      </c>
      <c r="R25" s="7" t="s">
        <v>38</v>
      </c>
      <c r="S25" s="8">
        <v>2400000</v>
      </c>
      <c r="T25" s="8">
        <v>0</v>
      </c>
      <c r="U25" s="8">
        <v>0</v>
      </c>
      <c r="V25" s="8">
        <f t="shared" si="0"/>
        <v>2400000</v>
      </c>
      <c r="W25" s="7" t="s">
        <v>213</v>
      </c>
      <c r="X25" s="7" t="s">
        <v>214</v>
      </c>
      <c r="Y25" s="8">
        <v>2400000</v>
      </c>
      <c r="Z25" s="8">
        <v>2400000</v>
      </c>
      <c r="AA25" s="8">
        <v>2400000</v>
      </c>
      <c r="AB25" s="8">
        <v>2400000</v>
      </c>
      <c r="AC25" s="8">
        <v>2400000</v>
      </c>
      <c r="AD25" s="7" t="s">
        <v>173</v>
      </c>
    </row>
    <row r="26" spans="1:30">
      <c r="A26" s="3" t="s">
        <v>29</v>
      </c>
      <c r="B26" s="4" t="s">
        <v>215</v>
      </c>
      <c r="C26" s="5" t="s">
        <v>175</v>
      </c>
      <c r="D26" s="5">
        <v>645866</v>
      </c>
      <c r="E26" s="5">
        <v>288</v>
      </c>
      <c r="F26" s="6" t="s">
        <v>32</v>
      </c>
      <c r="G26" s="7" t="s">
        <v>33</v>
      </c>
      <c r="H26" s="7">
        <v>1990</v>
      </c>
      <c r="I26" s="7" t="s">
        <v>216</v>
      </c>
      <c r="J26" s="7" t="s">
        <v>175</v>
      </c>
      <c r="K26" s="7" t="s">
        <v>217</v>
      </c>
      <c r="L26" s="7"/>
      <c r="M26" s="7"/>
      <c r="N26" s="7" t="s">
        <v>218</v>
      </c>
      <c r="O26" s="7">
        <v>250</v>
      </c>
      <c r="P26" s="7" t="s">
        <v>169</v>
      </c>
      <c r="Q26" s="7" t="s">
        <v>219</v>
      </c>
      <c r="R26" s="7" t="s">
        <v>38</v>
      </c>
      <c r="S26" s="8">
        <v>2320000</v>
      </c>
      <c r="T26" s="8">
        <v>0</v>
      </c>
      <c r="U26" s="8">
        <v>0</v>
      </c>
      <c r="V26" s="8">
        <f t="shared" si="0"/>
        <v>2320000</v>
      </c>
      <c r="W26" s="7" t="s">
        <v>220</v>
      </c>
      <c r="X26" s="7" t="s">
        <v>221</v>
      </c>
      <c r="Y26" s="8">
        <v>2320000</v>
      </c>
      <c r="Z26" s="8">
        <v>2320000</v>
      </c>
      <c r="AA26" s="8">
        <v>2320000</v>
      </c>
      <c r="AB26" s="8">
        <v>2320000</v>
      </c>
      <c r="AC26" s="8">
        <v>2320000</v>
      </c>
      <c r="AD26" s="7" t="s">
        <v>173</v>
      </c>
    </row>
    <row r="27" spans="1:30">
      <c r="A27" s="3" t="s">
        <v>29</v>
      </c>
      <c r="B27" s="4" t="s">
        <v>222</v>
      </c>
      <c r="C27" s="5" t="s">
        <v>175</v>
      </c>
      <c r="D27" s="5">
        <v>555690</v>
      </c>
      <c r="E27" s="5">
        <v>310</v>
      </c>
      <c r="F27" s="6" t="s">
        <v>32</v>
      </c>
      <c r="G27" s="7" t="s">
        <v>176</v>
      </c>
      <c r="H27" s="7">
        <v>1984</v>
      </c>
      <c r="I27" s="7" t="s">
        <v>223</v>
      </c>
      <c r="J27" s="7" t="s">
        <v>175</v>
      </c>
      <c r="K27" s="7" t="s">
        <v>224</v>
      </c>
      <c r="L27" s="7" t="s">
        <v>225</v>
      </c>
      <c r="M27" s="7" t="s">
        <v>226</v>
      </c>
      <c r="N27" s="7" t="s">
        <v>227</v>
      </c>
      <c r="O27" s="7">
        <v>200</v>
      </c>
      <c r="P27" s="7" t="s">
        <v>181</v>
      </c>
      <c r="Q27" s="7" t="s">
        <v>228</v>
      </c>
      <c r="R27" s="7" t="s">
        <v>38</v>
      </c>
      <c r="S27" s="8">
        <v>2087000</v>
      </c>
      <c r="T27" s="8">
        <v>0</v>
      </c>
      <c r="U27" s="8">
        <v>0</v>
      </c>
      <c r="V27" s="8">
        <f t="shared" si="0"/>
        <v>2087000</v>
      </c>
      <c r="W27" s="7" t="s">
        <v>229</v>
      </c>
      <c r="X27" s="7" t="s">
        <v>230</v>
      </c>
      <c r="Y27" s="8">
        <v>2087000</v>
      </c>
      <c r="Z27" s="8">
        <v>2087000</v>
      </c>
      <c r="AA27" s="8">
        <v>2087000</v>
      </c>
      <c r="AB27" s="8">
        <v>2087000</v>
      </c>
      <c r="AC27" s="8">
        <v>2087000</v>
      </c>
      <c r="AD27" s="7" t="s">
        <v>231</v>
      </c>
    </row>
    <row r="28" spans="1:30">
      <c r="A28" s="3" t="s">
        <v>29</v>
      </c>
      <c r="B28" s="4" t="s">
        <v>232</v>
      </c>
      <c r="C28" s="5" t="s">
        <v>175</v>
      </c>
      <c r="D28" s="5">
        <v>333154</v>
      </c>
      <c r="E28" s="5">
        <v>377</v>
      </c>
      <c r="F28" s="6" t="s">
        <v>32</v>
      </c>
      <c r="G28" s="7" t="s">
        <v>33</v>
      </c>
      <c r="H28" s="7">
        <v>1990</v>
      </c>
      <c r="I28" s="7" t="s">
        <v>233</v>
      </c>
      <c r="J28" s="7" t="s">
        <v>175</v>
      </c>
      <c r="K28" s="7" t="s">
        <v>234</v>
      </c>
      <c r="L28" s="7"/>
      <c r="M28" s="7"/>
      <c r="N28" s="7" t="s">
        <v>235</v>
      </c>
      <c r="O28" s="7">
        <v>250</v>
      </c>
      <c r="P28" s="7" t="s">
        <v>181</v>
      </c>
      <c r="Q28" s="7" t="s">
        <v>236</v>
      </c>
      <c r="R28" s="7" t="s">
        <v>38</v>
      </c>
      <c r="S28" s="8">
        <v>2350000</v>
      </c>
      <c r="T28" s="8">
        <v>0</v>
      </c>
      <c r="U28" s="8">
        <v>0</v>
      </c>
      <c r="V28" s="8">
        <f t="shared" si="0"/>
        <v>2350000</v>
      </c>
      <c r="W28" s="7" t="s">
        <v>237</v>
      </c>
      <c r="X28" s="7" t="s">
        <v>238</v>
      </c>
      <c r="Y28" s="8">
        <v>2350000</v>
      </c>
      <c r="Z28" s="8">
        <v>2350000</v>
      </c>
      <c r="AA28" s="8">
        <v>2350000</v>
      </c>
      <c r="AB28" s="8">
        <v>2350000</v>
      </c>
      <c r="AC28" s="8">
        <v>2350000</v>
      </c>
      <c r="AD28" s="7" t="s">
        <v>173</v>
      </c>
    </row>
    <row r="29" spans="1:30">
      <c r="A29" s="3" t="s">
        <v>29</v>
      </c>
      <c r="B29" s="4" t="s">
        <v>239</v>
      </c>
      <c r="C29" s="5" t="s">
        <v>175</v>
      </c>
      <c r="D29" s="5">
        <v>240367</v>
      </c>
      <c r="E29" s="5">
        <v>414</v>
      </c>
      <c r="F29" s="6" t="s">
        <v>32</v>
      </c>
      <c r="G29" s="7" t="s">
        <v>33</v>
      </c>
      <c r="H29" s="7">
        <v>1982</v>
      </c>
      <c r="I29" s="7" t="s">
        <v>198</v>
      </c>
      <c r="J29" s="7" t="s">
        <v>175</v>
      </c>
      <c r="K29" s="7" t="s">
        <v>240</v>
      </c>
      <c r="L29" s="7" t="s">
        <v>241</v>
      </c>
      <c r="M29" s="7" t="s">
        <v>242</v>
      </c>
      <c r="N29" s="7" t="s">
        <v>243</v>
      </c>
      <c r="O29" s="7">
        <v>250</v>
      </c>
      <c r="P29" s="7" t="s">
        <v>181</v>
      </c>
      <c r="Q29" s="7" t="s">
        <v>244</v>
      </c>
      <c r="R29" s="7" t="s">
        <v>38</v>
      </c>
      <c r="S29" s="8">
        <v>2350000</v>
      </c>
      <c r="T29" s="8">
        <v>0</v>
      </c>
      <c r="U29" s="8">
        <v>170500</v>
      </c>
      <c r="V29" s="8">
        <f t="shared" si="0"/>
        <v>2520500</v>
      </c>
      <c r="W29" s="7" t="s">
        <v>245</v>
      </c>
      <c r="X29" s="7" t="s">
        <v>246</v>
      </c>
      <c r="Y29" s="8">
        <v>2520500</v>
      </c>
      <c r="Z29" s="8">
        <v>2520500</v>
      </c>
      <c r="AA29" s="8">
        <v>2520500</v>
      </c>
      <c r="AB29" s="8">
        <v>2520500</v>
      </c>
      <c r="AC29" s="8">
        <v>2520500</v>
      </c>
      <c r="AD29" s="7" t="s">
        <v>173</v>
      </c>
    </row>
    <row r="30" spans="1:30">
      <c r="A30" s="3" t="s">
        <v>29</v>
      </c>
      <c r="B30" s="4" t="s">
        <v>247</v>
      </c>
      <c r="C30" s="5" t="s">
        <v>175</v>
      </c>
      <c r="D30" s="5">
        <v>142869</v>
      </c>
      <c r="E30" s="5">
        <v>464</v>
      </c>
      <c r="F30" s="6" t="s">
        <v>32</v>
      </c>
      <c r="G30" s="7" t="s">
        <v>176</v>
      </c>
      <c r="H30" s="7">
        <v>1984</v>
      </c>
      <c r="I30" s="7" t="s">
        <v>248</v>
      </c>
      <c r="J30" s="7" t="s">
        <v>175</v>
      </c>
      <c r="K30" s="7" t="s">
        <v>249</v>
      </c>
      <c r="L30" s="7" t="s">
        <v>250</v>
      </c>
      <c r="M30" s="7" t="s">
        <v>251</v>
      </c>
      <c r="N30" s="7" t="s">
        <v>252</v>
      </c>
      <c r="O30" s="7">
        <v>200</v>
      </c>
      <c r="P30" s="7" t="s">
        <v>181</v>
      </c>
      <c r="Q30" s="7" t="s">
        <v>253</v>
      </c>
      <c r="R30" s="7" t="s">
        <v>38</v>
      </c>
      <c r="S30" s="8">
        <v>1900000</v>
      </c>
      <c r="T30" s="8">
        <v>0</v>
      </c>
      <c r="U30" s="8">
        <v>0</v>
      </c>
      <c r="V30" s="8">
        <f t="shared" si="0"/>
        <v>1900000</v>
      </c>
      <c r="W30" s="7" t="s">
        <v>254</v>
      </c>
      <c r="X30" s="7" t="s">
        <v>255</v>
      </c>
      <c r="Y30" s="8">
        <v>1900000</v>
      </c>
      <c r="Z30" s="8">
        <v>1900000</v>
      </c>
      <c r="AA30" s="8">
        <v>1900000</v>
      </c>
      <c r="AB30" s="8">
        <v>1900000</v>
      </c>
      <c r="AC30" s="8">
        <v>1900000</v>
      </c>
      <c r="AD30" s="7" t="s">
        <v>256</v>
      </c>
    </row>
    <row r="31" spans="1:30">
      <c r="A31" s="3" t="s">
        <v>29</v>
      </c>
      <c r="B31" s="4" t="s">
        <v>257</v>
      </c>
      <c r="C31" s="5" t="s">
        <v>175</v>
      </c>
      <c r="D31" s="5">
        <v>648817</v>
      </c>
      <c r="E31" s="5">
        <v>287</v>
      </c>
      <c r="F31" s="6" t="s">
        <v>32</v>
      </c>
      <c r="G31" s="7" t="s">
        <v>33</v>
      </c>
      <c r="H31" s="7">
        <v>2020</v>
      </c>
      <c r="I31" s="7" t="s">
        <v>258</v>
      </c>
      <c r="J31" s="7" t="s">
        <v>175</v>
      </c>
      <c r="K31" s="7" t="s">
        <v>259</v>
      </c>
      <c r="L31" s="7" t="s">
        <v>260</v>
      </c>
      <c r="M31" s="7"/>
      <c r="N31" s="7" t="s">
        <v>261</v>
      </c>
      <c r="O31" s="7">
        <v>250</v>
      </c>
      <c r="P31" s="7" t="s">
        <v>181</v>
      </c>
      <c r="Q31" s="7" t="s">
        <v>262</v>
      </c>
      <c r="R31" s="7" t="s">
        <v>38</v>
      </c>
      <c r="S31" s="8">
        <v>2325000</v>
      </c>
      <c r="T31" s="8">
        <v>0</v>
      </c>
      <c r="U31" s="8">
        <v>125000</v>
      </c>
      <c r="V31" s="8">
        <f t="shared" si="0"/>
        <v>2450000</v>
      </c>
      <c r="W31" s="7" t="s">
        <v>171</v>
      </c>
      <c r="X31" s="7" t="s">
        <v>263</v>
      </c>
      <c r="Y31" s="8">
        <v>2450000</v>
      </c>
      <c r="Z31" s="8">
        <v>2450000</v>
      </c>
      <c r="AA31" s="8">
        <v>2450000</v>
      </c>
      <c r="AB31" s="8">
        <v>2450000</v>
      </c>
      <c r="AC31" s="8">
        <v>2450000</v>
      </c>
      <c r="AD31" s="7" t="s">
        <v>173</v>
      </c>
    </row>
    <row r="32" spans="1:30">
      <c r="A32" s="3" t="s">
        <v>29</v>
      </c>
      <c r="B32" s="4" t="s">
        <v>264</v>
      </c>
      <c r="C32" s="5" t="s">
        <v>175</v>
      </c>
      <c r="D32" s="5">
        <v>56144</v>
      </c>
      <c r="E32" s="5">
        <v>529</v>
      </c>
      <c r="F32" s="6" t="s">
        <v>32</v>
      </c>
      <c r="G32" s="7" t="s">
        <v>33</v>
      </c>
      <c r="H32" s="7">
        <v>2020</v>
      </c>
      <c r="I32" s="7" t="s">
        <v>185</v>
      </c>
      <c r="J32" s="7" t="s">
        <v>175</v>
      </c>
      <c r="K32" s="7" t="s">
        <v>265</v>
      </c>
      <c r="L32" s="7"/>
      <c r="M32" s="7"/>
      <c r="N32" s="7" t="s">
        <v>266</v>
      </c>
      <c r="O32" s="7">
        <v>150</v>
      </c>
      <c r="P32" s="7" t="s">
        <v>29</v>
      </c>
      <c r="Q32" s="7" t="s">
        <v>267</v>
      </c>
      <c r="R32" s="7" t="s">
        <v>38</v>
      </c>
      <c r="S32" s="8">
        <v>1000000</v>
      </c>
      <c r="T32" s="8">
        <v>0</v>
      </c>
      <c r="U32" s="8">
        <v>0</v>
      </c>
      <c r="V32" s="8">
        <f t="shared" si="0"/>
        <v>1000000</v>
      </c>
      <c r="W32" s="7" t="s">
        <v>268</v>
      </c>
      <c r="X32" s="7" t="s">
        <v>269</v>
      </c>
      <c r="Y32" s="8">
        <v>1000000</v>
      </c>
      <c r="Z32" s="8">
        <v>1000000</v>
      </c>
      <c r="AA32" s="8">
        <v>1000000</v>
      </c>
      <c r="AB32" s="8">
        <v>1000000</v>
      </c>
      <c r="AC32" s="8">
        <v>1000000</v>
      </c>
      <c r="AD32" s="7" t="s">
        <v>270</v>
      </c>
    </row>
    <row r="33" spans="1:30">
      <c r="A33" s="3" t="s">
        <v>29</v>
      </c>
      <c r="B33" s="4" t="s">
        <v>271</v>
      </c>
      <c r="C33" s="5" t="s">
        <v>175</v>
      </c>
      <c r="D33" s="5">
        <v>307390</v>
      </c>
      <c r="E33" s="5">
        <v>387</v>
      </c>
      <c r="F33" s="6" t="s">
        <v>32</v>
      </c>
      <c r="G33" s="7" t="s">
        <v>33</v>
      </c>
      <c r="H33" s="7">
        <v>1993</v>
      </c>
      <c r="I33" s="7" t="s">
        <v>198</v>
      </c>
      <c r="J33" s="7" t="s">
        <v>175</v>
      </c>
      <c r="K33" s="7" t="s">
        <v>272</v>
      </c>
      <c r="L33" s="7"/>
      <c r="M33" s="7"/>
      <c r="N33" s="7" t="s">
        <v>273</v>
      </c>
      <c r="O33" s="7">
        <v>100</v>
      </c>
      <c r="P33" s="7" t="s">
        <v>29</v>
      </c>
      <c r="Q33" s="7" t="s">
        <v>274</v>
      </c>
      <c r="R33" s="7" t="s">
        <v>38</v>
      </c>
      <c r="S33" s="8">
        <v>2350000</v>
      </c>
      <c r="T33" s="8">
        <v>0</v>
      </c>
      <c r="U33" s="8">
        <v>0</v>
      </c>
      <c r="V33" s="8">
        <f t="shared" si="0"/>
        <v>2350000</v>
      </c>
      <c r="W33" s="7" t="s">
        <v>275</v>
      </c>
      <c r="X33" s="7" t="s">
        <v>276</v>
      </c>
      <c r="Y33" s="8">
        <v>2350000</v>
      </c>
      <c r="Z33" s="8">
        <v>2350000</v>
      </c>
      <c r="AA33" s="8">
        <v>2350000</v>
      </c>
      <c r="AB33" s="8">
        <v>2350000</v>
      </c>
      <c r="AC33" s="8">
        <v>2350000</v>
      </c>
      <c r="AD33" s="7" t="s">
        <v>173</v>
      </c>
    </row>
    <row r="34" spans="1:30">
      <c r="A34" s="3" t="s">
        <v>29</v>
      </c>
      <c r="B34" s="4" t="s">
        <v>277</v>
      </c>
      <c r="C34" s="5" t="s">
        <v>175</v>
      </c>
      <c r="D34" s="5">
        <v>368433</v>
      </c>
      <c r="E34" s="5">
        <v>365</v>
      </c>
      <c r="F34" s="6" t="s">
        <v>32</v>
      </c>
      <c r="G34" s="7" t="s">
        <v>33</v>
      </c>
      <c r="H34" s="7">
        <v>1982</v>
      </c>
      <c r="I34" s="7" t="s">
        <v>198</v>
      </c>
      <c r="J34" s="7" t="s">
        <v>175</v>
      </c>
      <c r="K34" s="7" t="s">
        <v>240</v>
      </c>
      <c r="L34" s="7" t="s">
        <v>241</v>
      </c>
      <c r="M34" s="7" t="s">
        <v>242</v>
      </c>
      <c r="N34" s="7" t="s">
        <v>278</v>
      </c>
      <c r="O34" s="7">
        <v>250</v>
      </c>
      <c r="P34" s="7" t="s">
        <v>181</v>
      </c>
      <c r="Q34" s="7" t="s">
        <v>244</v>
      </c>
      <c r="R34" s="7" t="s">
        <v>38</v>
      </c>
      <c r="S34" s="8">
        <v>2350000</v>
      </c>
      <c r="T34" s="8">
        <v>0</v>
      </c>
      <c r="U34" s="8">
        <v>170500</v>
      </c>
      <c r="V34" s="8">
        <f t="shared" si="0"/>
        <v>2520500</v>
      </c>
      <c r="W34" s="7" t="s">
        <v>279</v>
      </c>
      <c r="X34" s="7" t="s">
        <v>280</v>
      </c>
      <c r="Y34" s="8">
        <v>2520500</v>
      </c>
      <c r="Z34" s="8">
        <v>2520500</v>
      </c>
      <c r="AA34" s="8">
        <v>2520500</v>
      </c>
      <c r="AB34" s="8">
        <v>2520500</v>
      </c>
      <c r="AC34" s="8">
        <v>2520500</v>
      </c>
      <c r="AD34" s="7" t="s">
        <v>173</v>
      </c>
    </row>
    <row r="35" spans="1:30">
      <c r="A35" s="3" t="s">
        <v>29</v>
      </c>
      <c r="B35" s="4" t="s">
        <v>281</v>
      </c>
      <c r="C35" s="5" t="s">
        <v>282</v>
      </c>
      <c r="D35" s="5">
        <v>349173</v>
      </c>
      <c r="E35" s="5">
        <v>372</v>
      </c>
      <c r="F35" s="6" t="s">
        <v>32</v>
      </c>
      <c r="G35" s="7" t="s">
        <v>33</v>
      </c>
      <c r="H35" s="7">
        <v>2007</v>
      </c>
      <c r="I35" s="7" t="s">
        <v>283</v>
      </c>
      <c r="J35" s="7" t="s">
        <v>282</v>
      </c>
      <c r="K35" s="7" t="s">
        <v>284</v>
      </c>
      <c r="L35" s="7" t="s">
        <v>285</v>
      </c>
      <c r="M35" s="7" t="s">
        <v>286</v>
      </c>
      <c r="N35" s="7" t="s">
        <v>287</v>
      </c>
      <c r="O35" s="7">
        <v>250</v>
      </c>
      <c r="P35" s="7" t="s">
        <v>181</v>
      </c>
      <c r="Q35" s="7" t="s">
        <v>288</v>
      </c>
      <c r="R35" s="7" t="s">
        <v>38</v>
      </c>
      <c r="S35" s="8">
        <v>1790000</v>
      </c>
      <c r="T35" s="8">
        <v>0</v>
      </c>
      <c r="U35" s="8">
        <v>0</v>
      </c>
      <c r="V35" s="8">
        <f t="shared" si="0"/>
        <v>1790000</v>
      </c>
      <c r="W35" s="7" t="s">
        <v>289</v>
      </c>
      <c r="X35" s="7" t="s">
        <v>290</v>
      </c>
      <c r="Y35" s="8">
        <v>1790000</v>
      </c>
      <c r="Z35" s="8">
        <v>1790000</v>
      </c>
      <c r="AA35" s="8">
        <v>1790000</v>
      </c>
      <c r="AB35" s="8">
        <v>1790000</v>
      </c>
      <c r="AC35" s="8">
        <v>1790000</v>
      </c>
      <c r="AD35" s="7" t="s">
        <v>173</v>
      </c>
    </row>
    <row r="36" spans="1:30">
      <c r="A36" s="3" t="s">
        <v>29</v>
      </c>
      <c r="B36" s="4" t="s">
        <v>291</v>
      </c>
      <c r="C36" s="5" t="s">
        <v>282</v>
      </c>
      <c r="D36" s="5">
        <v>257176</v>
      </c>
      <c r="E36" s="5">
        <v>407</v>
      </c>
      <c r="F36" s="6" t="s">
        <v>32</v>
      </c>
      <c r="G36" s="7" t="s">
        <v>33</v>
      </c>
      <c r="H36" s="7">
        <v>2007</v>
      </c>
      <c r="I36" s="7" t="s">
        <v>283</v>
      </c>
      <c r="J36" s="7" t="s">
        <v>282</v>
      </c>
      <c r="K36" s="7" t="s">
        <v>292</v>
      </c>
      <c r="L36" s="7" t="s">
        <v>293</v>
      </c>
      <c r="M36" s="7" t="s">
        <v>294</v>
      </c>
      <c r="N36" s="7" t="s">
        <v>295</v>
      </c>
      <c r="O36" s="7">
        <v>250</v>
      </c>
      <c r="P36" s="7" t="s">
        <v>296</v>
      </c>
      <c r="Q36" s="7" t="s">
        <v>297</v>
      </c>
      <c r="R36" s="7" t="s">
        <v>38</v>
      </c>
      <c r="S36" s="8">
        <v>1850000</v>
      </c>
      <c r="T36" s="8">
        <v>0</v>
      </c>
      <c r="U36" s="8">
        <v>0</v>
      </c>
      <c r="V36" s="8">
        <f t="shared" si="0"/>
        <v>1850000</v>
      </c>
      <c r="W36" s="7" t="s">
        <v>39</v>
      </c>
      <c r="X36" s="7" t="s">
        <v>298</v>
      </c>
      <c r="Y36" s="8">
        <v>1850000</v>
      </c>
      <c r="Z36" s="8">
        <v>1850000</v>
      </c>
      <c r="AA36" s="8">
        <v>1850000</v>
      </c>
      <c r="AB36" s="8">
        <v>1850000</v>
      </c>
      <c r="AC36" s="8">
        <v>1850000</v>
      </c>
      <c r="AD36" s="7" t="s">
        <v>299</v>
      </c>
    </row>
    <row r="37" spans="1:30">
      <c r="A37" s="3" t="s">
        <v>29</v>
      </c>
      <c r="B37" s="4" t="s">
        <v>300</v>
      </c>
      <c r="C37" s="5" t="s">
        <v>282</v>
      </c>
      <c r="D37" s="5">
        <v>332063</v>
      </c>
      <c r="E37" s="5">
        <v>378</v>
      </c>
      <c r="F37" s="6" t="s">
        <v>32</v>
      </c>
      <c r="G37" s="7" t="s">
        <v>33</v>
      </c>
      <c r="H37" s="7">
        <v>2024</v>
      </c>
      <c r="I37" s="7" t="s">
        <v>283</v>
      </c>
      <c r="J37" s="7" t="s">
        <v>282</v>
      </c>
      <c r="K37" s="7" t="s">
        <v>301</v>
      </c>
      <c r="L37" s="7" t="s">
        <v>302</v>
      </c>
      <c r="M37" s="7"/>
      <c r="N37" s="7" t="s">
        <v>287</v>
      </c>
      <c r="O37" s="7">
        <v>150</v>
      </c>
      <c r="P37" s="7" t="s">
        <v>29</v>
      </c>
      <c r="Q37" s="7" t="s">
        <v>303</v>
      </c>
      <c r="R37" s="7" t="s">
        <v>38</v>
      </c>
      <c r="S37" s="8">
        <v>2195000</v>
      </c>
      <c r="T37" s="8">
        <v>0</v>
      </c>
      <c r="U37" s="8">
        <v>0</v>
      </c>
      <c r="V37" s="8">
        <f t="shared" si="0"/>
        <v>2195000</v>
      </c>
      <c r="W37" s="7" t="s">
        <v>304</v>
      </c>
      <c r="X37" s="7" t="s">
        <v>305</v>
      </c>
      <c r="Y37" s="8">
        <v>2195000</v>
      </c>
      <c r="Z37" s="8">
        <v>2195000</v>
      </c>
      <c r="AA37" s="8">
        <v>2195000</v>
      </c>
      <c r="AB37" s="8">
        <v>2195000</v>
      </c>
      <c r="AC37" s="8">
        <v>2195000</v>
      </c>
      <c r="AD37" s="7" t="s">
        <v>173</v>
      </c>
    </row>
    <row r="38" spans="1:30">
      <c r="A38" s="3" t="s">
        <v>29</v>
      </c>
      <c r="B38" s="4" t="s">
        <v>306</v>
      </c>
      <c r="C38" s="5" t="s">
        <v>307</v>
      </c>
      <c r="D38" s="5">
        <v>918859</v>
      </c>
      <c r="E38" s="5">
        <v>228</v>
      </c>
      <c r="F38" s="6" t="s">
        <v>32</v>
      </c>
      <c r="G38" s="7" t="s">
        <v>176</v>
      </c>
      <c r="H38" s="7">
        <v>2000</v>
      </c>
      <c r="I38" s="7" t="s">
        <v>307</v>
      </c>
      <c r="J38" s="7" t="s">
        <v>307</v>
      </c>
      <c r="K38" s="7" t="s">
        <v>308</v>
      </c>
      <c r="L38" s="7"/>
      <c r="M38" s="7"/>
      <c r="N38" s="7" t="s">
        <v>309</v>
      </c>
      <c r="O38" s="7">
        <v>150</v>
      </c>
      <c r="P38" s="7" t="s">
        <v>29</v>
      </c>
      <c r="Q38" s="7" t="s">
        <v>236</v>
      </c>
      <c r="R38" s="7" t="s">
        <v>38</v>
      </c>
      <c r="S38" s="8">
        <v>2300000</v>
      </c>
      <c r="T38" s="8">
        <v>0</v>
      </c>
      <c r="U38" s="8">
        <v>87600</v>
      </c>
      <c r="V38" s="8">
        <f t="shared" si="0"/>
        <v>2387600</v>
      </c>
      <c r="W38" s="7" t="s">
        <v>39</v>
      </c>
      <c r="X38" s="7" t="s">
        <v>310</v>
      </c>
      <c r="Y38" s="8">
        <v>2387600</v>
      </c>
      <c r="Z38" s="8">
        <v>2387600</v>
      </c>
      <c r="AA38" s="8">
        <v>2387600</v>
      </c>
      <c r="AB38" s="8">
        <v>2387600</v>
      </c>
      <c r="AC38" s="8">
        <v>2387600</v>
      </c>
      <c r="AD38" s="7" t="s">
        <v>299</v>
      </c>
    </row>
    <row r="39" spans="1:30">
      <c r="A39" s="3" t="s">
        <v>29</v>
      </c>
      <c r="B39" s="4" t="s">
        <v>311</v>
      </c>
      <c r="C39" s="5" t="s">
        <v>307</v>
      </c>
      <c r="D39" s="5">
        <v>834236</v>
      </c>
      <c r="E39" s="5">
        <v>245</v>
      </c>
      <c r="F39" s="6" t="s">
        <v>32</v>
      </c>
      <c r="G39" s="7" t="s">
        <v>176</v>
      </c>
      <c r="H39" s="7">
        <v>2001</v>
      </c>
      <c r="I39" s="7" t="s">
        <v>307</v>
      </c>
      <c r="J39" s="7" t="s">
        <v>307</v>
      </c>
      <c r="K39" s="7" t="s">
        <v>312</v>
      </c>
      <c r="L39" s="7"/>
      <c r="M39" s="7"/>
      <c r="N39" s="7" t="s">
        <v>313</v>
      </c>
      <c r="O39" s="7">
        <v>250</v>
      </c>
      <c r="P39" s="7" t="s">
        <v>314</v>
      </c>
      <c r="Q39" s="7" t="s">
        <v>315</v>
      </c>
      <c r="R39" s="7" t="s">
        <v>38</v>
      </c>
      <c r="S39" s="8">
        <v>2500000</v>
      </c>
      <c r="T39" s="8">
        <v>150000</v>
      </c>
      <c r="U39" s="8">
        <v>50000</v>
      </c>
      <c r="V39" s="8">
        <f t="shared" si="0"/>
        <v>2700000</v>
      </c>
      <c r="W39" s="7" t="s">
        <v>39</v>
      </c>
      <c r="X39" s="7" t="s">
        <v>316</v>
      </c>
      <c r="Y39" s="8">
        <v>2700000</v>
      </c>
      <c r="Z39" s="8">
        <v>2700000</v>
      </c>
      <c r="AA39" s="8">
        <v>2700000</v>
      </c>
      <c r="AB39" s="8">
        <v>2700000</v>
      </c>
      <c r="AC39" s="8">
        <v>2700000</v>
      </c>
      <c r="AD39" s="7" t="s">
        <v>317</v>
      </c>
    </row>
    <row r="40" spans="1:30">
      <c r="A40" s="3" t="s">
        <v>29</v>
      </c>
      <c r="B40" s="4" t="s">
        <v>318</v>
      </c>
      <c r="C40" s="5" t="s">
        <v>307</v>
      </c>
      <c r="D40" s="5">
        <v>1187171</v>
      </c>
      <c r="E40" s="5">
        <v>178</v>
      </c>
      <c r="F40" s="6" t="s">
        <v>32</v>
      </c>
      <c r="G40" s="7" t="s">
        <v>33</v>
      </c>
      <c r="H40" s="7">
        <v>2006</v>
      </c>
      <c r="I40" s="7" t="s">
        <v>307</v>
      </c>
      <c r="J40" s="7" t="s">
        <v>307</v>
      </c>
      <c r="K40" s="7" t="s">
        <v>319</v>
      </c>
      <c r="L40" s="7" t="s">
        <v>320</v>
      </c>
      <c r="M40" s="7"/>
      <c r="N40" s="7" t="s">
        <v>321</v>
      </c>
      <c r="O40" s="7">
        <v>250</v>
      </c>
      <c r="P40" s="7" t="s">
        <v>29</v>
      </c>
      <c r="Q40" s="7" t="s">
        <v>322</v>
      </c>
      <c r="R40" s="7" t="s">
        <v>38</v>
      </c>
      <c r="S40" s="8">
        <v>2500000</v>
      </c>
      <c r="T40" s="8">
        <v>0</v>
      </c>
      <c r="U40" s="8">
        <v>10000</v>
      </c>
      <c r="V40" s="8">
        <f t="shared" si="0"/>
        <v>2510000</v>
      </c>
      <c r="W40" s="7" t="s">
        <v>39</v>
      </c>
      <c r="X40" s="7" t="s">
        <v>323</v>
      </c>
      <c r="Y40" s="8">
        <v>2510000</v>
      </c>
      <c r="Z40" s="8">
        <v>2510000</v>
      </c>
      <c r="AA40" s="8">
        <v>2510000</v>
      </c>
      <c r="AB40" s="8">
        <v>2510000</v>
      </c>
      <c r="AC40" s="8">
        <v>2510000</v>
      </c>
      <c r="AD40" s="7" t="s">
        <v>324</v>
      </c>
    </row>
    <row r="41" spans="1:30">
      <c r="A41" s="3" t="s">
        <v>29</v>
      </c>
      <c r="B41" s="4" t="s">
        <v>325</v>
      </c>
      <c r="C41" s="5" t="s">
        <v>307</v>
      </c>
      <c r="D41" s="5">
        <v>805761</v>
      </c>
      <c r="E41" s="5">
        <v>251</v>
      </c>
      <c r="F41" s="6" t="s">
        <v>32</v>
      </c>
      <c r="G41" s="7" t="s">
        <v>176</v>
      </c>
      <c r="H41" s="7">
        <v>1996</v>
      </c>
      <c r="I41" s="7" t="s">
        <v>326</v>
      </c>
      <c r="J41" s="7" t="s">
        <v>307</v>
      </c>
      <c r="K41" s="7" t="s">
        <v>327</v>
      </c>
      <c r="L41" s="7" t="s">
        <v>328</v>
      </c>
      <c r="M41" s="7"/>
      <c r="N41" s="7" t="s">
        <v>329</v>
      </c>
      <c r="O41" s="7">
        <v>150</v>
      </c>
      <c r="P41" s="7" t="s">
        <v>29</v>
      </c>
      <c r="Q41" s="7" t="s">
        <v>330</v>
      </c>
      <c r="R41" s="7" t="s">
        <v>38</v>
      </c>
      <c r="S41" s="8">
        <v>2100000</v>
      </c>
      <c r="T41" s="8">
        <v>0</v>
      </c>
      <c r="U41" s="8">
        <v>87550</v>
      </c>
      <c r="V41" s="8">
        <f t="shared" si="0"/>
        <v>2187550</v>
      </c>
      <c r="W41" s="7" t="s">
        <v>39</v>
      </c>
      <c r="X41" s="7" t="s">
        <v>331</v>
      </c>
      <c r="Y41" s="8">
        <v>2187550</v>
      </c>
      <c r="Z41" s="8">
        <v>2187550</v>
      </c>
      <c r="AA41" s="8">
        <v>2187550</v>
      </c>
      <c r="AB41" s="8">
        <v>2187550</v>
      </c>
      <c r="AC41" s="8">
        <v>2187550</v>
      </c>
      <c r="AD41" s="7" t="s">
        <v>324</v>
      </c>
    </row>
    <row r="42" spans="1:30">
      <c r="A42" s="3" t="s">
        <v>29</v>
      </c>
      <c r="B42" s="4" t="s">
        <v>332</v>
      </c>
      <c r="C42" s="5" t="s">
        <v>333</v>
      </c>
      <c r="D42" s="5">
        <v>927573</v>
      </c>
      <c r="E42" s="5">
        <v>226</v>
      </c>
      <c r="F42" s="6" t="s">
        <v>32</v>
      </c>
      <c r="G42" s="7" t="s">
        <v>33</v>
      </c>
      <c r="H42" s="7">
        <v>2008</v>
      </c>
      <c r="I42" s="7" t="s">
        <v>334</v>
      </c>
      <c r="J42" s="7" t="s">
        <v>333</v>
      </c>
      <c r="K42" s="7" t="s">
        <v>335</v>
      </c>
      <c r="L42" s="7" t="s">
        <v>336</v>
      </c>
      <c r="M42" s="7"/>
      <c r="N42" s="7" t="s">
        <v>337</v>
      </c>
      <c r="O42" s="7">
        <v>250</v>
      </c>
      <c r="P42" s="7" t="s">
        <v>29</v>
      </c>
      <c r="Q42" s="7" t="s">
        <v>338</v>
      </c>
      <c r="R42" s="7" t="s">
        <v>38</v>
      </c>
      <c r="S42" s="8">
        <v>2300000</v>
      </c>
      <c r="T42" s="8">
        <v>0</v>
      </c>
      <c r="U42" s="8">
        <v>0</v>
      </c>
      <c r="V42" s="8">
        <f t="shared" si="0"/>
        <v>2300000</v>
      </c>
      <c r="W42" s="7" t="s">
        <v>39</v>
      </c>
      <c r="X42" s="7" t="s">
        <v>339</v>
      </c>
      <c r="Y42" s="8">
        <v>2300000</v>
      </c>
      <c r="Z42" s="8">
        <v>2300000</v>
      </c>
      <c r="AA42" s="8">
        <v>2300000</v>
      </c>
      <c r="AB42" s="8">
        <v>2300000</v>
      </c>
      <c r="AC42" s="8">
        <v>2300000</v>
      </c>
      <c r="AD42" s="7" t="s">
        <v>324</v>
      </c>
    </row>
    <row r="43" spans="1:30">
      <c r="A43" s="3" t="s">
        <v>29</v>
      </c>
      <c r="B43" s="4" t="s">
        <v>340</v>
      </c>
      <c r="C43" s="5" t="s">
        <v>333</v>
      </c>
      <c r="D43" s="5">
        <v>738420</v>
      </c>
      <c r="E43" s="5">
        <v>266</v>
      </c>
      <c r="F43" s="6" t="s">
        <v>32</v>
      </c>
      <c r="G43" s="7" t="s">
        <v>33</v>
      </c>
      <c r="H43" s="7">
        <v>2006</v>
      </c>
      <c r="I43" s="7" t="s">
        <v>341</v>
      </c>
      <c r="J43" s="7" t="s">
        <v>333</v>
      </c>
      <c r="K43" s="7" t="s">
        <v>342</v>
      </c>
      <c r="L43" s="7" t="s">
        <v>343</v>
      </c>
      <c r="M43" s="7" t="s">
        <v>344</v>
      </c>
      <c r="N43" s="7" t="s">
        <v>345</v>
      </c>
      <c r="O43" s="7">
        <v>250</v>
      </c>
      <c r="P43" s="7" t="s">
        <v>314</v>
      </c>
      <c r="Q43" s="7" t="s">
        <v>346</v>
      </c>
      <c r="R43" s="7" t="s">
        <v>38</v>
      </c>
      <c r="S43" s="8">
        <v>2700000</v>
      </c>
      <c r="T43" s="8">
        <v>0</v>
      </c>
      <c r="U43" s="8">
        <v>330000</v>
      </c>
      <c r="V43" s="8">
        <f t="shared" si="0"/>
        <v>3030000</v>
      </c>
      <c r="W43" s="7" t="s">
        <v>39</v>
      </c>
      <c r="X43" s="7" t="s">
        <v>347</v>
      </c>
      <c r="Y43" s="8">
        <v>3030000</v>
      </c>
      <c r="Z43" s="8">
        <v>3030000</v>
      </c>
      <c r="AA43" s="8">
        <v>3030000</v>
      </c>
      <c r="AB43" s="8">
        <v>3030000</v>
      </c>
      <c r="AC43" s="8">
        <v>3030000</v>
      </c>
      <c r="AD43" s="7" t="s">
        <v>324</v>
      </c>
    </row>
    <row r="44" spans="1:30">
      <c r="A44" s="3" t="s">
        <v>29</v>
      </c>
      <c r="B44" s="4" t="s">
        <v>348</v>
      </c>
      <c r="C44" s="5" t="s">
        <v>333</v>
      </c>
      <c r="D44" s="5">
        <v>992101</v>
      </c>
      <c r="E44" s="5">
        <v>214</v>
      </c>
      <c r="F44" s="6" t="s">
        <v>32</v>
      </c>
      <c r="G44" s="7" t="s">
        <v>33</v>
      </c>
      <c r="H44" s="7">
        <v>2003</v>
      </c>
      <c r="I44" s="7" t="s">
        <v>341</v>
      </c>
      <c r="J44" s="7" t="s">
        <v>333</v>
      </c>
      <c r="K44" s="7" t="s">
        <v>349</v>
      </c>
      <c r="L44" s="7" t="s">
        <v>350</v>
      </c>
      <c r="M44" s="7"/>
      <c r="N44" s="7" t="s">
        <v>351</v>
      </c>
      <c r="O44" s="7">
        <v>250</v>
      </c>
      <c r="P44" s="7" t="s">
        <v>314</v>
      </c>
      <c r="Q44" s="7" t="s">
        <v>352</v>
      </c>
      <c r="R44" s="7" t="s">
        <v>38</v>
      </c>
      <c r="S44" s="8">
        <v>2300000</v>
      </c>
      <c r="T44" s="8">
        <v>0</v>
      </c>
      <c r="U44" s="8">
        <v>140000</v>
      </c>
      <c r="V44" s="8">
        <f t="shared" si="0"/>
        <v>2440000</v>
      </c>
      <c r="W44" s="7" t="s">
        <v>39</v>
      </c>
      <c r="X44" s="7" t="s">
        <v>353</v>
      </c>
      <c r="Y44" s="8">
        <v>2440000</v>
      </c>
      <c r="Z44" s="8">
        <v>2440000</v>
      </c>
      <c r="AA44" s="8">
        <v>2440000</v>
      </c>
      <c r="AB44" s="8">
        <v>2440000</v>
      </c>
      <c r="AC44" s="8">
        <v>2440000</v>
      </c>
      <c r="AD44" s="7" t="s">
        <v>324</v>
      </c>
    </row>
    <row r="45" spans="1:30">
      <c r="A45" s="3" t="s">
        <v>29</v>
      </c>
      <c r="B45" s="4" t="s">
        <v>354</v>
      </c>
      <c r="C45" s="5" t="s">
        <v>333</v>
      </c>
      <c r="D45" s="5">
        <v>599305</v>
      </c>
      <c r="E45" s="5">
        <v>299</v>
      </c>
      <c r="F45" s="6" t="s">
        <v>32</v>
      </c>
      <c r="G45" s="7" t="s">
        <v>33</v>
      </c>
      <c r="H45" s="7">
        <v>2008</v>
      </c>
      <c r="I45" s="7" t="s">
        <v>334</v>
      </c>
      <c r="J45" s="7" t="s">
        <v>333</v>
      </c>
      <c r="K45" s="7" t="s">
        <v>355</v>
      </c>
      <c r="L45" s="7" t="s">
        <v>356</v>
      </c>
      <c r="M45" s="7"/>
      <c r="N45" s="7" t="s">
        <v>357</v>
      </c>
      <c r="O45" s="7">
        <v>250</v>
      </c>
      <c r="P45" s="7" t="s">
        <v>314</v>
      </c>
      <c r="Q45" s="7" t="s">
        <v>358</v>
      </c>
      <c r="R45" s="7" t="s">
        <v>38</v>
      </c>
      <c r="S45" s="8">
        <v>2700000</v>
      </c>
      <c r="T45" s="8">
        <v>0</v>
      </c>
      <c r="U45" s="8">
        <v>75000</v>
      </c>
      <c r="V45" s="8">
        <f t="shared" si="0"/>
        <v>2775000</v>
      </c>
      <c r="W45" s="7" t="s">
        <v>39</v>
      </c>
      <c r="X45" s="7" t="s">
        <v>359</v>
      </c>
      <c r="Y45" s="8">
        <v>2775000</v>
      </c>
      <c r="Z45" s="8">
        <v>2775000</v>
      </c>
      <c r="AA45" s="8">
        <v>2775000</v>
      </c>
      <c r="AB45" s="8">
        <v>2775000</v>
      </c>
      <c r="AC45" s="8">
        <v>2775000</v>
      </c>
      <c r="AD45" s="7" t="s">
        <v>324</v>
      </c>
    </row>
    <row r="46" spans="1:30">
      <c r="A46" s="3" t="s">
        <v>29</v>
      </c>
      <c r="B46" s="4" t="s">
        <v>360</v>
      </c>
      <c r="C46" s="5" t="s">
        <v>333</v>
      </c>
      <c r="D46" s="5">
        <v>1194233</v>
      </c>
      <c r="E46" s="5">
        <v>177</v>
      </c>
      <c r="F46" s="6" t="s">
        <v>32</v>
      </c>
      <c r="G46" s="7" t="s">
        <v>176</v>
      </c>
      <c r="H46" s="7">
        <v>2008</v>
      </c>
      <c r="I46" s="7" t="s">
        <v>334</v>
      </c>
      <c r="J46" s="7" t="s">
        <v>333</v>
      </c>
      <c r="K46" s="7" t="s">
        <v>361</v>
      </c>
      <c r="L46" s="7" t="s">
        <v>362</v>
      </c>
      <c r="M46" s="7"/>
      <c r="N46" s="7" t="s">
        <v>363</v>
      </c>
      <c r="O46" s="7">
        <v>250</v>
      </c>
      <c r="P46" s="7" t="s">
        <v>314</v>
      </c>
      <c r="Q46" s="7" t="s">
        <v>364</v>
      </c>
      <c r="R46" s="7" t="s">
        <v>38</v>
      </c>
      <c r="S46" s="8">
        <v>2200000</v>
      </c>
      <c r="T46" s="8">
        <v>150000</v>
      </c>
      <c r="U46" s="8">
        <v>62000</v>
      </c>
      <c r="V46" s="8">
        <f t="shared" si="0"/>
        <v>2412000</v>
      </c>
      <c r="W46" s="7" t="s">
        <v>39</v>
      </c>
      <c r="X46" s="7" t="s">
        <v>365</v>
      </c>
      <c r="Y46" s="8">
        <v>2412000</v>
      </c>
      <c r="Z46" s="8">
        <v>2412000</v>
      </c>
      <c r="AA46" s="8">
        <v>2412000</v>
      </c>
      <c r="AB46" s="8">
        <v>2412000</v>
      </c>
      <c r="AC46" s="8">
        <v>2412000</v>
      </c>
      <c r="AD46" s="7" t="s">
        <v>324</v>
      </c>
    </row>
    <row r="47" spans="1:30">
      <c r="A47" s="3" t="s">
        <v>29</v>
      </c>
      <c r="B47" s="4" t="s">
        <v>366</v>
      </c>
      <c r="C47" s="5" t="s">
        <v>333</v>
      </c>
      <c r="D47" s="5">
        <v>997115</v>
      </c>
      <c r="E47" s="5">
        <v>212</v>
      </c>
      <c r="F47" s="6" t="s">
        <v>32</v>
      </c>
      <c r="G47" s="7" t="s">
        <v>176</v>
      </c>
      <c r="H47" s="7">
        <v>2003</v>
      </c>
      <c r="I47" s="7" t="s">
        <v>334</v>
      </c>
      <c r="J47" s="7" t="s">
        <v>333</v>
      </c>
      <c r="K47" s="7" t="s">
        <v>367</v>
      </c>
      <c r="L47" s="7" t="s">
        <v>368</v>
      </c>
      <c r="M47" s="7"/>
      <c r="N47" s="7" t="s">
        <v>369</v>
      </c>
      <c r="O47" s="7">
        <v>250</v>
      </c>
      <c r="P47" s="7" t="s">
        <v>314</v>
      </c>
      <c r="Q47" s="7" t="s">
        <v>370</v>
      </c>
      <c r="R47" s="7" t="s">
        <v>38</v>
      </c>
      <c r="S47" s="8">
        <v>3050000</v>
      </c>
      <c r="T47" s="8">
        <v>0</v>
      </c>
      <c r="U47" s="8">
        <v>0</v>
      </c>
      <c r="V47" s="8">
        <f t="shared" si="0"/>
        <v>3050000</v>
      </c>
      <c r="W47" s="7" t="s">
        <v>39</v>
      </c>
      <c r="X47" s="7" t="s">
        <v>371</v>
      </c>
      <c r="Y47" s="8">
        <v>3050000</v>
      </c>
      <c r="Z47" s="8">
        <v>3050000</v>
      </c>
      <c r="AA47" s="8">
        <v>3050000</v>
      </c>
      <c r="AB47" s="8">
        <v>3050000</v>
      </c>
      <c r="AC47" s="8">
        <v>3050000</v>
      </c>
      <c r="AD47" s="7" t="s">
        <v>324</v>
      </c>
    </row>
    <row r="48" spans="1:30">
      <c r="A48" s="3" t="s">
        <v>29</v>
      </c>
      <c r="B48" s="4" t="s">
        <v>372</v>
      </c>
      <c r="C48" s="5" t="s">
        <v>333</v>
      </c>
      <c r="D48" s="5">
        <v>329861</v>
      </c>
      <c r="E48" s="5">
        <v>378</v>
      </c>
      <c r="F48" s="6" t="s">
        <v>32</v>
      </c>
      <c r="G48" s="7" t="s">
        <v>33</v>
      </c>
      <c r="H48" s="7">
        <v>1985</v>
      </c>
      <c r="I48" s="7" t="s">
        <v>334</v>
      </c>
      <c r="J48" s="7" t="s">
        <v>333</v>
      </c>
      <c r="K48" s="7" t="s">
        <v>373</v>
      </c>
      <c r="L48" s="7" t="s">
        <v>374</v>
      </c>
      <c r="M48" s="7"/>
      <c r="N48" s="7" t="s">
        <v>375</v>
      </c>
      <c r="O48" s="7">
        <v>250</v>
      </c>
      <c r="P48" s="7" t="s">
        <v>314</v>
      </c>
      <c r="Q48" s="7" t="s">
        <v>376</v>
      </c>
      <c r="R48" s="7" t="s">
        <v>38</v>
      </c>
      <c r="S48" s="8">
        <v>2500000</v>
      </c>
      <c r="T48" s="8">
        <v>0</v>
      </c>
      <c r="U48" s="8">
        <v>105000</v>
      </c>
      <c r="V48" s="8">
        <f t="shared" si="0"/>
        <v>2605000</v>
      </c>
      <c r="W48" s="7" t="s">
        <v>39</v>
      </c>
      <c r="X48" s="7" t="s">
        <v>377</v>
      </c>
      <c r="Y48" s="8">
        <v>2605000</v>
      </c>
      <c r="Z48" s="8">
        <v>2605000</v>
      </c>
      <c r="AA48" s="8">
        <v>2605000</v>
      </c>
      <c r="AB48" s="8">
        <v>2605000</v>
      </c>
      <c r="AC48" s="8">
        <v>2605000</v>
      </c>
      <c r="AD48" s="7" t="s">
        <v>324</v>
      </c>
    </row>
    <row r="49" spans="1:30">
      <c r="A49" s="3" t="s">
        <v>29</v>
      </c>
      <c r="B49" s="4" t="s">
        <v>378</v>
      </c>
      <c r="C49" s="5" t="s">
        <v>333</v>
      </c>
      <c r="D49" s="5">
        <v>700830</v>
      </c>
      <c r="E49" s="5">
        <v>275</v>
      </c>
      <c r="F49" s="6" t="s">
        <v>32</v>
      </c>
      <c r="G49" s="7" t="s">
        <v>33</v>
      </c>
      <c r="H49" s="7">
        <v>2005</v>
      </c>
      <c r="I49" s="7" t="s">
        <v>379</v>
      </c>
      <c r="J49" s="7" t="s">
        <v>333</v>
      </c>
      <c r="K49" s="7" t="s">
        <v>380</v>
      </c>
      <c r="L49" s="7" t="s">
        <v>381</v>
      </c>
      <c r="M49" s="7"/>
      <c r="N49" s="7" t="s">
        <v>382</v>
      </c>
      <c r="O49" s="7">
        <v>250</v>
      </c>
      <c r="P49" s="7" t="s">
        <v>314</v>
      </c>
      <c r="Q49" s="7" t="s">
        <v>383</v>
      </c>
      <c r="R49" s="7" t="s">
        <v>38</v>
      </c>
      <c r="S49" s="8">
        <v>2800000</v>
      </c>
      <c r="T49" s="8">
        <v>0</v>
      </c>
      <c r="U49" s="8">
        <v>10000</v>
      </c>
      <c r="V49" s="8">
        <f t="shared" si="0"/>
        <v>2810000</v>
      </c>
      <c r="W49" s="7" t="s">
        <v>39</v>
      </c>
      <c r="X49" s="7" t="s">
        <v>384</v>
      </c>
      <c r="Y49" s="8">
        <v>2810000</v>
      </c>
      <c r="Z49" s="8">
        <v>2810000</v>
      </c>
      <c r="AA49" s="8">
        <v>2810000</v>
      </c>
      <c r="AB49" s="8">
        <v>2810000</v>
      </c>
      <c r="AC49" s="8">
        <v>2810000</v>
      </c>
      <c r="AD49" s="7" t="s">
        <v>324</v>
      </c>
    </row>
    <row r="50" spans="1:30">
      <c r="A50" s="3" t="s">
        <v>29</v>
      </c>
      <c r="B50" s="4" t="s">
        <v>385</v>
      </c>
      <c r="C50" s="5" t="s">
        <v>333</v>
      </c>
      <c r="D50" s="5">
        <v>987550</v>
      </c>
      <c r="E50" s="5">
        <v>214</v>
      </c>
      <c r="F50" s="6" t="s">
        <v>32</v>
      </c>
      <c r="G50" s="7" t="s">
        <v>176</v>
      </c>
      <c r="H50" s="7">
        <v>1995</v>
      </c>
      <c r="I50" s="7" t="s">
        <v>386</v>
      </c>
      <c r="J50" s="7" t="s">
        <v>333</v>
      </c>
      <c r="K50" s="7" t="s">
        <v>387</v>
      </c>
      <c r="L50" s="7" t="s">
        <v>388</v>
      </c>
      <c r="M50" s="7"/>
      <c r="N50" s="7" t="s">
        <v>389</v>
      </c>
      <c r="O50" s="7">
        <v>150</v>
      </c>
      <c r="P50" s="7" t="s">
        <v>314</v>
      </c>
      <c r="Q50" s="7" t="s">
        <v>390</v>
      </c>
      <c r="R50" s="7" t="s">
        <v>38</v>
      </c>
      <c r="S50" s="8">
        <v>2250000</v>
      </c>
      <c r="T50" s="8">
        <v>0</v>
      </c>
      <c r="U50" s="8">
        <v>2000</v>
      </c>
      <c r="V50" s="8">
        <f t="shared" si="0"/>
        <v>2252000</v>
      </c>
      <c r="W50" s="7" t="s">
        <v>39</v>
      </c>
      <c r="X50" s="7" t="s">
        <v>391</v>
      </c>
      <c r="Y50" s="8">
        <v>2252000</v>
      </c>
      <c r="Z50" s="8">
        <v>2252000</v>
      </c>
      <c r="AA50" s="8">
        <v>2252000</v>
      </c>
      <c r="AB50" s="8">
        <v>2252000</v>
      </c>
      <c r="AC50" s="8">
        <v>2252000</v>
      </c>
      <c r="AD50" s="7" t="s">
        <v>324</v>
      </c>
    </row>
    <row r="51" spans="1:30">
      <c r="A51" s="3" t="s">
        <v>29</v>
      </c>
      <c r="B51" s="4" t="s">
        <v>392</v>
      </c>
      <c r="C51" s="5" t="s">
        <v>333</v>
      </c>
      <c r="D51" s="5">
        <v>1163131</v>
      </c>
      <c r="E51" s="5">
        <v>182</v>
      </c>
      <c r="F51" s="6" t="s">
        <v>32</v>
      </c>
      <c r="G51" s="7" t="s">
        <v>176</v>
      </c>
      <c r="H51" s="7">
        <v>2020</v>
      </c>
      <c r="I51" s="7" t="s">
        <v>334</v>
      </c>
      <c r="J51" s="7" t="s">
        <v>333</v>
      </c>
      <c r="K51" s="7" t="s">
        <v>393</v>
      </c>
      <c r="L51" s="7" t="s">
        <v>394</v>
      </c>
      <c r="M51" s="7" t="s">
        <v>395</v>
      </c>
      <c r="N51" s="7" t="s">
        <v>396</v>
      </c>
      <c r="O51" s="7">
        <v>250</v>
      </c>
      <c r="P51" s="7" t="s">
        <v>29</v>
      </c>
      <c r="Q51" s="7" t="s">
        <v>397</v>
      </c>
      <c r="R51" s="7" t="s">
        <v>38</v>
      </c>
      <c r="S51" s="8">
        <v>2750000</v>
      </c>
      <c r="T51" s="8">
        <v>0</v>
      </c>
      <c r="U51" s="8">
        <v>10000</v>
      </c>
      <c r="V51" s="8">
        <f t="shared" si="0"/>
        <v>2760000</v>
      </c>
      <c r="W51" s="7" t="s">
        <v>39</v>
      </c>
      <c r="X51" s="7" t="s">
        <v>398</v>
      </c>
      <c r="Y51" s="8">
        <v>2760000</v>
      </c>
      <c r="Z51" s="8">
        <v>2760000</v>
      </c>
      <c r="AA51" s="8">
        <v>2760000</v>
      </c>
      <c r="AB51" s="8">
        <v>2760000</v>
      </c>
      <c r="AC51" s="8">
        <v>2760000</v>
      </c>
      <c r="AD51" s="7" t="s">
        <v>324</v>
      </c>
    </row>
    <row r="52" spans="1:30">
      <c r="A52" s="3" t="s">
        <v>29</v>
      </c>
      <c r="B52" s="4" t="s">
        <v>399</v>
      </c>
      <c r="C52" s="5" t="s">
        <v>333</v>
      </c>
      <c r="D52" s="5">
        <v>909875</v>
      </c>
      <c r="E52" s="5">
        <v>230</v>
      </c>
      <c r="F52" s="6" t="s">
        <v>32</v>
      </c>
      <c r="G52" s="7" t="s">
        <v>33</v>
      </c>
      <c r="H52" s="7">
        <v>2018</v>
      </c>
      <c r="I52" s="7" t="s">
        <v>400</v>
      </c>
      <c r="J52" s="7" t="s">
        <v>333</v>
      </c>
      <c r="K52" s="7" t="s">
        <v>401</v>
      </c>
      <c r="L52" s="7" t="s">
        <v>402</v>
      </c>
      <c r="M52" s="7"/>
      <c r="N52" s="7" t="s">
        <v>403</v>
      </c>
      <c r="O52" s="7">
        <v>250</v>
      </c>
      <c r="P52" s="7" t="s">
        <v>29</v>
      </c>
      <c r="Q52" s="7" t="s">
        <v>404</v>
      </c>
      <c r="R52" s="7" t="s">
        <v>38</v>
      </c>
      <c r="S52" s="8">
        <v>2100000</v>
      </c>
      <c r="T52" s="8">
        <v>0</v>
      </c>
      <c r="U52" s="8">
        <v>0</v>
      </c>
      <c r="V52" s="8">
        <f t="shared" si="0"/>
        <v>2100000</v>
      </c>
      <c r="W52" s="7" t="s">
        <v>39</v>
      </c>
      <c r="X52" s="7" t="s">
        <v>405</v>
      </c>
      <c r="Y52" s="8">
        <v>2100000</v>
      </c>
      <c r="Z52" s="8">
        <v>2100000</v>
      </c>
      <c r="AA52" s="8">
        <v>2100000</v>
      </c>
      <c r="AB52" s="8">
        <v>2100000</v>
      </c>
      <c r="AC52" s="8">
        <v>2100000</v>
      </c>
      <c r="AD52" s="7" t="s">
        <v>324</v>
      </c>
    </row>
    <row r="53" spans="1:30">
      <c r="A53" s="3" t="s">
        <v>29</v>
      </c>
      <c r="B53" s="4" t="s">
        <v>406</v>
      </c>
      <c r="C53" s="5" t="s">
        <v>333</v>
      </c>
      <c r="D53" s="5">
        <v>622017</v>
      </c>
      <c r="E53" s="5">
        <v>294</v>
      </c>
      <c r="F53" s="6" t="s">
        <v>32</v>
      </c>
      <c r="G53" s="7" t="s">
        <v>33</v>
      </c>
      <c r="H53" s="7">
        <v>2021</v>
      </c>
      <c r="I53" s="7" t="s">
        <v>334</v>
      </c>
      <c r="J53" s="7" t="s">
        <v>333</v>
      </c>
      <c r="K53" s="7" t="s">
        <v>407</v>
      </c>
      <c r="L53" s="7"/>
      <c r="M53" s="7"/>
      <c r="N53" s="7" t="s">
        <v>408</v>
      </c>
      <c r="O53" s="7">
        <v>150</v>
      </c>
      <c r="P53" s="7" t="s">
        <v>29</v>
      </c>
      <c r="Q53" s="7" t="s">
        <v>409</v>
      </c>
      <c r="R53" s="7" t="s">
        <v>38</v>
      </c>
      <c r="S53" s="8">
        <v>1900000</v>
      </c>
      <c r="T53" s="8">
        <v>0</v>
      </c>
      <c r="U53" s="8">
        <v>0</v>
      </c>
      <c r="V53" s="8">
        <f t="shared" si="0"/>
        <v>1900000</v>
      </c>
      <c r="W53" s="7" t="s">
        <v>39</v>
      </c>
      <c r="X53" s="7" t="s">
        <v>410</v>
      </c>
      <c r="Y53" s="8">
        <v>1900000</v>
      </c>
      <c r="Z53" s="8">
        <v>1900000</v>
      </c>
      <c r="AA53" s="8">
        <v>1900000</v>
      </c>
      <c r="AB53" s="8">
        <v>1900000</v>
      </c>
      <c r="AC53" s="8">
        <v>1900000</v>
      </c>
      <c r="AD53" s="7" t="s">
        <v>324</v>
      </c>
    </row>
    <row r="54" spans="1:30">
      <c r="A54" s="3" t="s">
        <v>29</v>
      </c>
      <c r="B54" s="4" t="s">
        <v>411</v>
      </c>
      <c r="C54" s="5" t="s">
        <v>333</v>
      </c>
      <c r="D54" s="5">
        <v>1194131</v>
      </c>
      <c r="E54" s="5">
        <v>177</v>
      </c>
      <c r="F54" s="6" t="s">
        <v>32</v>
      </c>
      <c r="G54" s="7" t="s">
        <v>176</v>
      </c>
      <c r="H54" s="7">
        <v>2023</v>
      </c>
      <c r="I54" s="7" t="s">
        <v>412</v>
      </c>
      <c r="J54" s="7" t="s">
        <v>333</v>
      </c>
      <c r="K54" s="7" t="s">
        <v>413</v>
      </c>
      <c r="L54" s="7" t="s">
        <v>414</v>
      </c>
      <c r="M54" s="7"/>
      <c r="N54" s="7" t="s">
        <v>415</v>
      </c>
      <c r="O54" s="7">
        <v>150</v>
      </c>
      <c r="P54" s="7" t="s">
        <v>29</v>
      </c>
      <c r="Q54" s="7" t="s">
        <v>416</v>
      </c>
      <c r="R54" s="7" t="s">
        <v>38</v>
      </c>
      <c r="S54" s="8">
        <v>2600000</v>
      </c>
      <c r="T54" s="8">
        <v>0</v>
      </c>
      <c r="U54" s="8">
        <v>20000</v>
      </c>
      <c r="V54" s="8">
        <f t="shared" si="0"/>
        <v>2620000</v>
      </c>
      <c r="W54" s="7" t="s">
        <v>39</v>
      </c>
      <c r="X54" s="7" t="s">
        <v>417</v>
      </c>
      <c r="Y54" s="8">
        <v>2620000</v>
      </c>
      <c r="Z54" s="8">
        <v>2620000</v>
      </c>
      <c r="AA54" s="8">
        <v>2620000</v>
      </c>
      <c r="AB54" s="8">
        <v>2620000</v>
      </c>
      <c r="AC54" s="8">
        <v>2620000</v>
      </c>
      <c r="AD54" s="7" t="s">
        <v>324</v>
      </c>
    </row>
    <row r="55" spans="1:30">
      <c r="A55" s="3" t="s">
        <v>29</v>
      </c>
      <c r="B55" s="4" t="s">
        <v>418</v>
      </c>
      <c r="C55" s="5" t="s">
        <v>419</v>
      </c>
      <c r="D55" s="5">
        <v>542056</v>
      </c>
      <c r="E55" s="5">
        <v>314</v>
      </c>
      <c r="F55" s="6" t="s">
        <v>32</v>
      </c>
      <c r="G55" s="7" t="s">
        <v>33</v>
      </c>
      <c r="H55" s="7">
        <v>2013</v>
      </c>
      <c r="I55" s="7" t="s">
        <v>420</v>
      </c>
      <c r="J55" s="7" t="s">
        <v>419</v>
      </c>
      <c r="K55" s="7" t="s">
        <v>421</v>
      </c>
      <c r="L55" s="7" t="s">
        <v>422</v>
      </c>
      <c r="M55" s="7" t="s">
        <v>423</v>
      </c>
      <c r="N55" s="7" t="s">
        <v>424</v>
      </c>
      <c r="O55" s="7">
        <v>200</v>
      </c>
      <c r="P55" s="7" t="s">
        <v>314</v>
      </c>
      <c r="Q55" s="7" t="s">
        <v>425</v>
      </c>
      <c r="R55" s="7" t="s">
        <v>38</v>
      </c>
      <c r="S55" s="8">
        <v>1155000</v>
      </c>
      <c r="T55" s="8">
        <v>0</v>
      </c>
      <c r="U55" s="8">
        <v>0</v>
      </c>
      <c r="V55" s="8">
        <f t="shared" si="0"/>
        <v>1155000</v>
      </c>
      <c r="W55" s="7" t="s">
        <v>39</v>
      </c>
      <c r="X55" s="7" t="s">
        <v>426</v>
      </c>
      <c r="Y55" s="8">
        <v>1155000</v>
      </c>
      <c r="Z55" s="8">
        <v>1155000</v>
      </c>
      <c r="AA55" s="8">
        <v>1155000</v>
      </c>
      <c r="AB55" s="8">
        <v>1155000</v>
      </c>
      <c r="AC55" s="8">
        <v>1155000</v>
      </c>
      <c r="AD55" s="7" t="s">
        <v>324</v>
      </c>
    </row>
    <row r="56" spans="1:30">
      <c r="A56" s="3" t="s">
        <v>29</v>
      </c>
      <c r="B56" s="4" t="s">
        <v>427</v>
      </c>
      <c r="C56" s="5" t="s">
        <v>419</v>
      </c>
      <c r="D56" s="5">
        <v>467647</v>
      </c>
      <c r="E56" s="5">
        <v>335</v>
      </c>
      <c r="F56" s="6" t="s">
        <v>32</v>
      </c>
      <c r="G56" s="7" t="s">
        <v>33</v>
      </c>
      <c r="H56" s="7">
        <v>2012</v>
      </c>
      <c r="I56" s="7" t="s">
        <v>420</v>
      </c>
      <c r="J56" s="7" t="s">
        <v>419</v>
      </c>
      <c r="K56" s="7" t="s">
        <v>428</v>
      </c>
      <c r="L56" s="7" t="s">
        <v>429</v>
      </c>
      <c r="M56" s="7" t="s">
        <v>430</v>
      </c>
      <c r="N56" s="7" t="s">
        <v>431</v>
      </c>
      <c r="O56" s="7">
        <v>200</v>
      </c>
      <c r="P56" s="7" t="s">
        <v>314</v>
      </c>
      <c r="Q56" s="7" t="s">
        <v>432</v>
      </c>
      <c r="R56" s="7" t="s">
        <v>38</v>
      </c>
      <c r="S56" s="8">
        <v>2150000</v>
      </c>
      <c r="T56" s="8">
        <v>0</v>
      </c>
      <c r="U56" s="8">
        <v>0</v>
      </c>
      <c r="V56" s="8">
        <f t="shared" si="0"/>
        <v>2150000</v>
      </c>
      <c r="W56" s="7" t="s">
        <v>39</v>
      </c>
      <c r="X56" s="7" t="s">
        <v>433</v>
      </c>
      <c r="Y56" s="8">
        <v>2150000</v>
      </c>
      <c r="Z56" s="8">
        <v>2150000</v>
      </c>
      <c r="AA56" s="8">
        <v>2150000</v>
      </c>
      <c r="AB56" s="8">
        <v>2150000</v>
      </c>
      <c r="AC56" s="8">
        <v>2150000</v>
      </c>
      <c r="AD56" s="7" t="s">
        <v>324</v>
      </c>
    </row>
    <row r="57" spans="1:30">
      <c r="A57" s="3" t="s">
        <v>29</v>
      </c>
      <c r="B57" s="4" t="s">
        <v>434</v>
      </c>
      <c r="C57" s="5" t="s">
        <v>435</v>
      </c>
      <c r="D57" s="5">
        <v>582133</v>
      </c>
      <c r="E57" s="5">
        <v>304</v>
      </c>
      <c r="F57" s="6" t="s">
        <v>32</v>
      </c>
      <c r="G57" s="7" t="s">
        <v>33</v>
      </c>
      <c r="H57" s="7">
        <v>1995</v>
      </c>
      <c r="I57" s="7" t="s">
        <v>436</v>
      </c>
      <c r="J57" s="7" t="s">
        <v>435</v>
      </c>
      <c r="K57" s="7" t="s">
        <v>437</v>
      </c>
      <c r="L57" s="7"/>
      <c r="M57" s="7"/>
      <c r="N57" s="7" t="s">
        <v>438</v>
      </c>
      <c r="O57" s="7">
        <v>150</v>
      </c>
      <c r="P57" s="7" t="s">
        <v>314</v>
      </c>
      <c r="Q57" s="7" t="s">
        <v>439</v>
      </c>
      <c r="R57" s="7" t="s">
        <v>38</v>
      </c>
      <c r="S57" s="8">
        <v>2400000</v>
      </c>
      <c r="T57" s="8">
        <v>0</v>
      </c>
      <c r="U57" s="8">
        <v>0</v>
      </c>
      <c r="V57" s="8">
        <f t="shared" si="0"/>
        <v>2400000</v>
      </c>
      <c r="W57" s="7" t="s">
        <v>39</v>
      </c>
      <c r="X57" s="7" t="s">
        <v>440</v>
      </c>
      <c r="Y57" s="8">
        <v>2400000</v>
      </c>
      <c r="Z57" s="8">
        <v>2400000</v>
      </c>
      <c r="AA57" s="8">
        <v>2400000</v>
      </c>
      <c r="AB57" s="8">
        <v>2400000</v>
      </c>
      <c r="AC57" s="8">
        <v>2400000</v>
      </c>
      <c r="AD57" s="7" t="s">
        <v>324</v>
      </c>
    </row>
    <row r="58" spans="1:30">
      <c r="A58" s="3" t="s">
        <v>29</v>
      </c>
      <c r="B58" s="4" t="s">
        <v>441</v>
      </c>
      <c r="C58" s="5" t="s">
        <v>442</v>
      </c>
      <c r="D58" s="5">
        <v>564667</v>
      </c>
      <c r="E58" s="5">
        <v>308</v>
      </c>
      <c r="F58" s="6" t="s">
        <v>32</v>
      </c>
      <c r="G58" s="7" t="s">
        <v>33</v>
      </c>
      <c r="H58" s="7">
        <v>2024</v>
      </c>
      <c r="I58" s="7" t="s">
        <v>443</v>
      </c>
      <c r="J58" s="7" t="s">
        <v>442</v>
      </c>
      <c r="K58" s="7" t="s">
        <v>444</v>
      </c>
      <c r="L58" s="7" t="s">
        <v>445</v>
      </c>
      <c r="M58" s="7" t="s">
        <v>446</v>
      </c>
      <c r="N58" s="7" t="s">
        <v>447</v>
      </c>
      <c r="O58" s="7">
        <v>150</v>
      </c>
      <c r="P58" s="7" t="s">
        <v>29</v>
      </c>
      <c r="Q58" s="7" t="s">
        <v>448</v>
      </c>
      <c r="R58" s="7" t="s">
        <v>38</v>
      </c>
      <c r="S58" s="8">
        <v>2450000</v>
      </c>
      <c r="T58" s="8">
        <v>0</v>
      </c>
      <c r="U58" s="8">
        <v>270000</v>
      </c>
      <c r="V58" s="8">
        <f t="shared" si="0"/>
        <v>2720000</v>
      </c>
      <c r="W58" s="7" t="s">
        <v>39</v>
      </c>
      <c r="X58" s="7" t="s">
        <v>449</v>
      </c>
      <c r="Y58" s="8">
        <v>2720000</v>
      </c>
      <c r="Z58" s="8">
        <v>2720000</v>
      </c>
      <c r="AA58" s="8">
        <v>2720000</v>
      </c>
      <c r="AB58" s="8">
        <v>2720000</v>
      </c>
      <c r="AC58" s="8">
        <v>2720000</v>
      </c>
      <c r="AD58" s="7" t="s">
        <v>324</v>
      </c>
    </row>
    <row r="59" spans="1:30">
      <c r="A59" s="3" t="s">
        <v>29</v>
      </c>
      <c r="B59" s="4" t="s">
        <v>450</v>
      </c>
      <c r="C59" s="5" t="s">
        <v>163</v>
      </c>
      <c r="D59" s="5" t="s">
        <v>451</v>
      </c>
      <c r="E59" s="5" t="s">
        <v>452</v>
      </c>
      <c r="F59" s="9" t="s">
        <v>453</v>
      </c>
      <c r="G59" s="7" t="s">
        <v>33</v>
      </c>
      <c r="H59" s="7"/>
      <c r="I59" s="7" t="s">
        <v>164</v>
      </c>
      <c r="J59" s="7" t="s">
        <v>163</v>
      </c>
      <c r="K59" s="7" t="s">
        <v>454</v>
      </c>
      <c r="L59" s="7" t="s">
        <v>455</v>
      </c>
      <c r="M59" s="7" t="s">
        <v>167</v>
      </c>
      <c r="N59" s="7" t="s">
        <v>456</v>
      </c>
      <c r="O59" s="7">
        <v>50</v>
      </c>
      <c r="P59" s="7" t="s">
        <v>457</v>
      </c>
      <c r="Q59" s="7" t="s">
        <v>458</v>
      </c>
      <c r="R59" s="7" t="s">
        <v>38</v>
      </c>
      <c r="S59" s="8">
        <v>400000</v>
      </c>
      <c r="T59" s="8">
        <v>0</v>
      </c>
      <c r="U59" s="8">
        <v>143150</v>
      </c>
      <c r="V59" s="8">
        <f t="shared" si="0"/>
        <v>543150</v>
      </c>
      <c r="W59" s="7" t="s">
        <v>459</v>
      </c>
      <c r="X59" s="7" t="s">
        <v>460</v>
      </c>
      <c r="Y59" s="8">
        <v>543150</v>
      </c>
      <c r="Z59" s="8">
        <v>543150</v>
      </c>
      <c r="AA59" s="8">
        <v>543150</v>
      </c>
      <c r="AB59" s="8">
        <v>543150</v>
      </c>
      <c r="AC59" s="8">
        <v>543150</v>
      </c>
      <c r="AD59" s="7" t="s">
        <v>173</v>
      </c>
    </row>
    <row r="60" spans="1:30">
      <c r="A60" s="10" t="s">
        <v>461</v>
      </c>
      <c r="B60" s="4" t="s">
        <v>462</v>
      </c>
      <c r="C60" s="5" t="s">
        <v>52</v>
      </c>
      <c r="D60" s="5">
        <v>725992</v>
      </c>
      <c r="E60" s="5">
        <v>269</v>
      </c>
      <c r="F60" s="6" t="s">
        <v>32</v>
      </c>
      <c r="G60" s="7" t="s">
        <v>33</v>
      </c>
      <c r="H60" s="7">
        <v>1999</v>
      </c>
      <c r="I60" s="7" t="s">
        <v>53</v>
      </c>
      <c r="J60" s="7" t="s">
        <v>52</v>
      </c>
      <c r="K60" s="7" t="s">
        <v>54</v>
      </c>
      <c r="L60" s="7" t="s">
        <v>55</v>
      </c>
      <c r="M60" s="7" t="s">
        <v>56</v>
      </c>
      <c r="N60" s="7" t="s">
        <v>463</v>
      </c>
      <c r="O60" s="7">
        <v>100</v>
      </c>
      <c r="P60" s="7" t="s">
        <v>461</v>
      </c>
      <c r="Q60" s="7" t="s">
        <v>464</v>
      </c>
      <c r="R60" s="7" t="s">
        <v>38</v>
      </c>
      <c r="S60" s="8">
        <v>375000</v>
      </c>
      <c r="T60" s="8">
        <v>0</v>
      </c>
      <c r="U60" s="8">
        <v>0</v>
      </c>
      <c r="V60" s="8">
        <f t="shared" si="0"/>
        <v>375000</v>
      </c>
      <c r="W60" s="7" t="s">
        <v>39</v>
      </c>
      <c r="X60" s="7" t="s">
        <v>465</v>
      </c>
      <c r="Y60" s="8">
        <v>375000</v>
      </c>
      <c r="Z60" s="8">
        <v>375000</v>
      </c>
      <c r="AA60" s="8">
        <v>375000</v>
      </c>
      <c r="AB60" s="8">
        <v>375000</v>
      </c>
      <c r="AC60" s="8">
        <v>375000</v>
      </c>
      <c r="AD60" s="7" t="s">
        <v>466</v>
      </c>
    </row>
    <row r="61" spans="1:30">
      <c r="A61" s="10" t="s">
        <v>461</v>
      </c>
      <c r="B61" s="4" t="s">
        <v>467</v>
      </c>
      <c r="C61" s="5" t="s">
        <v>63</v>
      </c>
      <c r="D61" s="5">
        <v>764313</v>
      </c>
      <c r="E61" s="5">
        <v>260</v>
      </c>
      <c r="F61" s="6" t="s">
        <v>32</v>
      </c>
      <c r="G61" s="7" t="s">
        <v>33</v>
      </c>
      <c r="H61" s="7"/>
      <c r="I61" s="7" t="s">
        <v>64</v>
      </c>
      <c r="J61" s="7" t="s">
        <v>63</v>
      </c>
      <c r="K61" s="7" t="s">
        <v>65</v>
      </c>
      <c r="L61" s="7"/>
      <c r="M61" s="7"/>
      <c r="N61" s="7" t="s">
        <v>468</v>
      </c>
      <c r="O61" s="7">
        <v>100</v>
      </c>
      <c r="P61" s="7" t="s">
        <v>461</v>
      </c>
      <c r="Q61" s="7" t="s">
        <v>464</v>
      </c>
      <c r="R61" s="7" t="s">
        <v>38</v>
      </c>
      <c r="S61" s="8">
        <v>300000</v>
      </c>
      <c r="T61" s="8">
        <v>18300</v>
      </c>
      <c r="U61" s="8">
        <v>40000</v>
      </c>
      <c r="V61" s="8">
        <f t="shared" si="0"/>
        <v>358300</v>
      </c>
      <c r="W61" s="7" t="s">
        <v>469</v>
      </c>
      <c r="X61" s="7" t="s">
        <v>470</v>
      </c>
      <c r="Y61" s="8">
        <v>358300</v>
      </c>
      <c r="Z61" s="8">
        <v>358300</v>
      </c>
      <c r="AA61" s="8">
        <v>358300</v>
      </c>
      <c r="AB61" s="8">
        <v>358300</v>
      </c>
      <c r="AC61" s="8">
        <v>358300</v>
      </c>
      <c r="AD61" s="7" t="s">
        <v>471</v>
      </c>
    </row>
    <row r="62" spans="1:30">
      <c r="A62" s="10" t="s">
        <v>461</v>
      </c>
      <c r="B62" s="4" t="s">
        <v>472</v>
      </c>
      <c r="C62" s="5" t="s">
        <v>63</v>
      </c>
      <c r="D62" s="5">
        <v>764873</v>
      </c>
      <c r="E62" s="5">
        <v>260</v>
      </c>
      <c r="F62" s="6" t="s">
        <v>32</v>
      </c>
      <c r="G62" s="7" t="s">
        <v>33</v>
      </c>
      <c r="H62" s="7"/>
      <c r="I62" s="7" t="s">
        <v>70</v>
      </c>
      <c r="J62" s="7" t="s">
        <v>63</v>
      </c>
      <c r="K62" s="7" t="s">
        <v>473</v>
      </c>
      <c r="L62" s="7"/>
      <c r="M62" s="7"/>
      <c r="N62" s="7" t="s">
        <v>474</v>
      </c>
      <c r="O62" s="7">
        <v>100</v>
      </c>
      <c r="P62" s="7" t="s">
        <v>461</v>
      </c>
      <c r="Q62" s="7" t="s">
        <v>464</v>
      </c>
      <c r="R62" s="7" t="s">
        <v>38</v>
      </c>
      <c r="S62" s="8">
        <v>452500</v>
      </c>
      <c r="T62" s="8">
        <v>0</v>
      </c>
      <c r="U62" s="8">
        <v>0</v>
      </c>
      <c r="V62" s="8">
        <f t="shared" si="0"/>
        <v>452500</v>
      </c>
      <c r="W62" s="7" t="s">
        <v>39</v>
      </c>
      <c r="X62" s="7" t="s">
        <v>475</v>
      </c>
      <c r="Y62" s="8">
        <v>452500</v>
      </c>
      <c r="Z62" s="8">
        <v>452500</v>
      </c>
      <c r="AA62" s="8">
        <v>452500</v>
      </c>
      <c r="AB62" s="8">
        <v>452500</v>
      </c>
      <c r="AC62" s="8">
        <v>452500</v>
      </c>
      <c r="AD62" s="7" t="s">
        <v>466</v>
      </c>
    </row>
    <row r="63" spans="1:30">
      <c r="A63" s="10" t="s">
        <v>461</v>
      </c>
      <c r="B63" s="4" t="s">
        <v>476</v>
      </c>
      <c r="C63" s="5" t="s">
        <v>84</v>
      </c>
      <c r="D63" s="5">
        <v>496039</v>
      </c>
      <c r="E63" s="5">
        <v>327</v>
      </c>
      <c r="F63" s="6" t="s">
        <v>32</v>
      </c>
      <c r="G63" s="7" t="s">
        <v>33</v>
      </c>
      <c r="H63" s="7"/>
      <c r="I63" s="7" t="s">
        <v>108</v>
      </c>
      <c r="J63" s="7" t="s">
        <v>84</v>
      </c>
      <c r="K63" s="7" t="s">
        <v>477</v>
      </c>
      <c r="L63" s="7"/>
      <c r="M63" s="7"/>
      <c r="N63" s="7" t="s">
        <v>478</v>
      </c>
      <c r="O63" s="7">
        <v>100</v>
      </c>
      <c r="P63" s="7" t="s">
        <v>461</v>
      </c>
      <c r="Q63" s="7" t="s">
        <v>464</v>
      </c>
      <c r="R63" s="7" t="s">
        <v>38</v>
      </c>
      <c r="S63" s="8">
        <v>505250</v>
      </c>
      <c r="T63" s="8">
        <v>0</v>
      </c>
      <c r="U63" s="8">
        <v>0</v>
      </c>
      <c r="V63" s="8">
        <f t="shared" si="0"/>
        <v>505250</v>
      </c>
      <c r="W63" s="7" t="s">
        <v>39</v>
      </c>
      <c r="X63" s="7" t="s">
        <v>479</v>
      </c>
      <c r="Y63" s="8">
        <v>505250</v>
      </c>
      <c r="Z63" s="8">
        <v>505250</v>
      </c>
      <c r="AA63" s="8">
        <v>505250</v>
      </c>
      <c r="AB63" s="8">
        <v>505250</v>
      </c>
      <c r="AC63" s="8">
        <v>505250</v>
      </c>
      <c r="AD63" s="7" t="s">
        <v>480</v>
      </c>
    </row>
    <row r="64" spans="1:30">
      <c r="A64" s="10" t="s">
        <v>461</v>
      </c>
      <c r="B64" s="4" t="s">
        <v>481</v>
      </c>
      <c r="C64" s="5" t="s">
        <v>84</v>
      </c>
      <c r="D64" s="5">
        <v>633259</v>
      </c>
      <c r="E64" s="5">
        <v>291</v>
      </c>
      <c r="F64" s="6" t="s">
        <v>32</v>
      </c>
      <c r="G64" s="7" t="s">
        <v>33</v>
      </c>
      <c r="H64" s="7"/>
      <c r="I64" s="7" t="s">
        <v>100</v>
      </c>
      <c r="J64" s="7" t="s">
        <v>84</v>
      </c>
      <c r="K64" s="7" t="s">
        <v>482</v>
      </c>
      <c r="L64" s="7"/>
      <c r="M64" s="7"/>
      <c r="N64" s="7" t="s">
        <v>483</v>
      </c>
      <c r="O64" s="7">
        <v>100</v>
      </c>
      <c r="P64" s="7" t="s">
        <v>461</v>
      </c>
      <c r="Q64" s="7" t="s">
        <v>464</v>
      </c>
      <c r="R64" s="7" t="s">
        <v>38</v>
      </c>
      <c r="S64" s="8">
        <v>486250</v>
      </c>
      <c r="T64" s="8">
        <v>0</v>
      </c>
      <c r="U64" s="8">
        <v>0</v>
      </c>
      <c r="V64" s="8">
        <f t="shared" si="0"/>
        <v>486250</v>
      </c>
      <c r="W64" s="7" t="s">
        <v>39</v>
      </c>
      <c r="X64" s="7" t="s">
        <v>484</v>
      </c>
      <c r="Y64" s="8">
        <v>486250</v>
      </c>
      <c r="Z64" s="8">
        <v>486250</v>
      </c>
      <c r="AA64" s="8">
        <v>486250</v>
      </c>
      <c r="AB64" s="8">
        <v>486250</v>
      </c>
      <c r="AC64" s="8">
        <v>486250</v>
      </c>
      <c r="AD64" s="7" t="s">
        <v>466</v>
      </c>
    </row>
    <row r="65" spans="1:30">
      <c r="A65" s="10" t="s">
        <v>461</v>
      </c>
      <c r="B65" s="4" t="s">
        <v>485</v>
      </c>
      <c r="C65" s="5" t="s">
        <v>84</v>
      </c>
      <c r="D65" s="5">
        <v>676670</v>
      </c>
      <c r="E65" s="5">
        <v>280</v>
      </c>
      <c r="F65" s="6" t="s">
        <v>32</v>
      </c>
      <c r="G65" s="7" t="s">
        <v>33</v>
      </c>
      <c r="H65" s="7"/>
      <c r="I65" s="7" t="s">
        <v>92</v>
      </c>
      <c r="J65" s="7" t="s">
        <v>84</v>
      </c>
      <c r="K65" s="7" t="s">
        <v>486</v>
      </c>
      <c r="L65" s="7"/>
      <c r="M65" s="7"/>
      <c r="N65" s="7" t="s">
        <v>487</v>
      </c>
      <c r="O65" s="7">
        <v>100</v>
      </c>
      <c r="P65" s="7" t="s">
        <v>461</v>
      </c>
      <c r="Q65" s="7" t="s">
        <v>464</v>
      </c>
      <c r="R65" s="7" t="s">
        <v>38</v>
      </c>
      <c r="S65" s="8">
        <v>373000</v>
      </c>
      <c r="T65" s="8">
        <v>0</v>
      </c>
      <c r="U65" s="8">
        <v>0</v>
      </c>
      <c r="V65" s="8">
        <f t="shared" si="0"/>
        <v>373000</v>
      </c>
      <c r="W65" s="7" t="s">
        <v>96</v>
      </c>
      <c r="X65" s="7" t="s">
        <v>488</v>
      </c>
      <c r="Y65" s="8">
        <v>373000</v>
      </c>
      <c r="Z65" s="8">
        <v>373000</v>
      </c>
      <c r="AA65" s="8">
        <v>373000</v>
      </c>
      <c r="AB65" s="8">
        <v>373000</v>
      </c>
      <c r="AC65" s="8">
        <v>373000</v>
      </c>
      <c r="AD65" s="7" t="s">
        <v>98</v>
      </c>
    </row>
    <row r="66" spans="1:30">
      <c r="A66" s="10" t="s">
        <v>461</v>
      </c>
      <c r="B66" s="4" t="s">
        <v>489</v>
      </c>
      <c r="C66" s="5" t="s">
        <v>84</v>
      </c>
      <c r="D66" s="5">
        <v>254399</v>
      </c>
      <c r="E66" s="5">
        <v>408</v>
      </c>
      <c r="F66" s="6" t="s">
        <v>32</v>
      </c>
      <c r="G66" s="7" t="s">
        <v>33</v>
      </c>
      <c r="H66" s="7"/>
      <c r="I66" s="7" t="s">
        <v>120</v>
      </c>
      <c r="J66" s="7" t="s">
        <v>84</v>
      </c>
      <c r="K66" s="7" t="s">
        <v>490</v>
      </c>
      <c r="L66" s="7"/>
      <c r="M66" s="7"/>
      <c r="N66" s="7" t="s">
        <v>491</v>
      </c>
      <c r="O66" s="7">
        <v>100</v>
      </c>
      <c r="P66" s="7" t="s">
        <v>461</v>
      </c>
      <c r="Q66" s="7" t="s">
        <v>464</v>
      </c>
      <c r="R66" s="7" t="s">
        <v>38</v>
      </c>
      <c r="S66" s="8">
        <v>415000</v>
      </c>
      <c r="T66" s="8">
        <v>0</v>
      </c>
      <c r="U66" s="8">
        <v>135000</v>
      </c>
      <c r="V66" s="8">
        <f t="shared" ref="V66:V83" si="1">IF(COUNT(S66:U66)=0,"",SUM(S66:U66))</f>
        <v>550000</v>
      </c>
      <c r="W66" s="7" t="s">
        <v>39</v>
      </c>
      <c r="X66" s="7" t="s">
        <v>492</v>
      </c>
      <c r="Y66" s="8">
        <v>550000</v>
      </c>
      <c r="Z66" s="8">
        <v>550000</v>
      </c>
      <c r="AA66" s="8">
        <v>550000</v>
      </c>
      <c r="AB66" s="8">
        <v>550000</v>
      </c>
      <c r="AC66" s="8">
        <v>550000</v>
      </c>
      <c r="AD66" s="7" t="s">
        <v>82</v>
      </c>
    </row>
    <row r="67" spans="1:30">
      <c r="A67" s="10" t="s">
        <v>461</v>
      </c>
      <c r="B67" s="4" t="s">
        <v>493</v>
      </c>
      <c r="C67" s="5" t="s">
        <v>84</v>
      </c>
      <c r="D67" s="5">
        <v>324836</v>
      </c>
      <c r="E67" s="5">
        <v>380</v>
      </c>
      <c r="F67" s="6" t="s">
        <v>32</v>
      </c>
      <c r="G67" s="7" t="s">
        <v>33</v>
      </c>
      <c r="H67" s="7"/>
      <c r="I67" s="7" t="s">
        <v>108</v>
      </c>
      <c r="J67" s="7" t="s">
        <v>84</v>
      </c>
      <c r="K67" s="7" t="s">
        <v>494</v>
      </c>
      <c r="L67" s="7"/>
      <c r="M67" s="7"/>
      <c r="N67" s="7" t="s">
        <v>495</v>
      </c>
      <c r="O67" s="7">
        <v>100</v>
      </c>
      <c r="P67" s="7" t="s">
        <v>461</v>
      </c>
      <c r="Q67" s="7" t="s">
        <v>464</v>
      </c>
      <c r="R67" s="7" t="s">
        <v>38</v>
      </c>
      <c r="S67" s="8">
        <v>369000</v>
      </c>
      <c r="T67" s="8">
        <v>0</v>
      </c>
      <c r="U67" s="8">
        <v>121000</v>
      </c>
      <c r="V67" s="8">
        <f t="shared" si="1"/>
        <v>490000</v>
      </c>
      <c r="W67" s="7" t="s">
        <v>39</v>
      </c>
      <c r="X67" s="7" t="s">
        <v>496</v>
      </c>
      <c r="Y67" s="8">
        <v>490000</v>
      </c>
      <c r="Z67" s="8">
        <v>490000</v>
      </c>
      <c r="AA67" s="8">
        <v>490000</v>
      </c>
      <c r="AB67" s="8">
        <v>490000</v>
      </c>
      <c r="AC67" s="8">
        <v>490000</v>
      </c>
      <c r="AD67" s="7" t="s">
        <v>82</v>
      </c>
    </row>
    <row r="68" spans="1:30">
      <c r="A68" s="10" t="s">
        <v>461</v>
      </c>
      <c r="B68" s="4" t="s">
        <v>497</v>
      </c>
      <c r="C68" s="5" t="s">
        <v>84</v>
      </c>
      <c r="D68" s="5">
        <v>772349</v>
      </c>
      <c r="E68" s="5">
        <v>259</v>
      </c>
      <c r="F68" s="6" t="s">
        <v>32</v>
      </c>
      <c r="G68" s="7" t="s">
        <v>33</v>
      </c>
      <c r="H68" s="7"/>
      <c r="I68" s="7" t="s">
        <v>132</v>
      </c>
      <c r="J68" s="7" t="s">
        <v>84</v>
      </c>
      <c r="K68" s="7" t="s">
        <v>498</v>
      </c>
      <c r="L68" s="7"/>
      <c r="M68" s="7"/>
      <c r="N68" s="7" t="s">
        <v>134</v>
      </c>
      <c r="O68" s="7">
        <v>100</v>
      </c>
      <c r="P68" s="7" t="s">
        <v>461</v>
      </c>
      <c r="Q68" s="7" t="s">
        <v>464</v>
      </c>
      <c r="R68" s="7" t="s">
        <v>38</v>
      </c>
      <c r="S68" s="8">
        <v>301000</v>
      </c>
      <c r="T68" s="8">
        <v>0</v>
      </c>
      <c r="U68" s="8">
        <v>0</v>
      </c>
      <c r="V68" s="8">
        <f t="shared" si="1"/>
        <v>301000</v>
      </c>
      <c r="W68" s="7" t="s">
        <v>499</v>
      </c>
      <c r="X68" s="7" t="s">
        <v>500</v>
      </c>
      <c r="Y68" s="8">
        <v>301000</v>
      </c>
      <c r="Z68" s="8">
        <v>301000</v>
      </c>
      <c r="AA68" s="8">
        <v>301000</v>
      </c>
      <c r="AB68" s="8">
        <v>301000</v>
      </c>
      <c r="AC68" s="8">
        <v>301000</v>
      </c>
      <c r="AD68" s="7" t="s">
        <v>501</v>
      </c>
    </row>
    <row r="69" spans="1:30">
      <c r="A69" s="10" t="s">
        <v>461</v>
      </c>
      <c r="B69" s="4" t="s">
        <v>502</v>
      </c>
      <c r="C69" s="5" t="s">
        <v>84</v>
      </c>
      <c r="D69" s="5">
        <v>758943</v>
      </c>
      <c r="E69" s="5">
        <v>262</v>
      </c>
      <c r="F69" s="6" t="s">
        <v>32</v>
      </c>
      <c r="G69" s="7" t="s">
        <v>33</v>
      </c>
      <c r="H69" s="7"/>
      <c r="I69" s="7" t="s">
        <v>108</v>
      </c>
      <c r="J69" s="7" t="s">
        <v>84</v>
      </c>
      <c r="K69" s="7" t="s">
        <v>503</v>
      </c>
      <c r="L69" s="7"/>
      <c r="M69" s="7"/>
      <c r="N69" s="7" t="s">
        <v>504</v>
      </c>
      <c r="O69" s="7">
        <v>100</v>
      </c>
      <c r="P69" s="7" t="s">
        <v>461</v>
      </c>
      <c r="Q69" s="7" t="s">
        <v>505</v>
      </c>
      <c r="R69" s="7" t="s">
        <v>38</v>
      </c>
      <c r="S69" s="8">
        <v>576000</v>
      </c>
      <c r="T69" s="8">
        <v>0</v>
      </c>
      <c r="U69" s="8">
        <v>0</v>
      </c>
      <c r="V69" s="8">
        <f t="shared" si="1"/>
        <v>576000</v>
      </c>
      <c r="W69" s="7" t="s">
        <v>506</v>
      </c>
      <c r="X69" s="7" t="s">
        <v>507</v>
      </c>
      <c r="Y69" s="8">
        <v>576000</v>
      </c>
      <c r="Z69" s="8">
        <v>576000</v>
      </c>
      <c r="AA69" s="8">
        <v>576000</v>
      </c>
      <c r="AB69" s="8">
        <v>576000</v>
      </c>
      <c r="AC69" s="8">
        <v>576000</v>
      </c>
      <c r="AD69" s="7" t="s">
        <v>508</v>
      </c>
    </row>
    <row r="70" spans="1:30">
      <c r="A70" s="10" t="s">
        <v>461</v>
      </c>
      <c r="B70" s="4" t="s">
        <v>509</v>
      </c>
      <c r="C70" s="5" t="s">
        <v>175</v>
      </c>
      <c r="D70" s="5">
        <v>614543</v>
      </c>
      <c r="E70" s="5">
        <v>295</v>
      </c>
      <c r="F70" s="6" t="s">
        <v>32</v>
      </c>
      <c r="G70" s="7" t="s">
        <v>176</v>
      </c>
      <c r="H70" s="7">
        <v>1988</v>
      </c>
      <c r="I70" s="7" t="s">
        <v>185</v>
      </c>
      <c r="J70" s="7" t="s">
        <v>175</v>
      </c>
      <c r="K70" s="7" t="s">
        <v>510</v>
      </c>
      <c r="L70" s="7" t="s">
        <v>511</v>
      </c>
      <c r="M70" s="7" t="s">
        <v>512</v>
      </c>
      <c r="N70" s="7" t="s">
        <v>513</v>
      </c>
      <c r="O70" s="7">
        <v>100</v>
      </c>
      <c r="P70" s="7" t="s">
        <v>457</v>
      </c>
      <c r="Q70" s="7" t="s">
        <v>514</v>
      </c>
      <c r="R70" s="7" t="s">
        <v>38</v>
      </c>
      <c r="S70" s="8">
        <v>500000</v>
      </c>
      <c r="T70" s="8">
        <v>0</v>
      </c>
      <c r="U70" s="8">
        <v>0</v>
      </c>
      <c r="V70" s="8">
        <f t="shared" si="1"/>
        <v>500000</v>
      </c>
      <c r="W70" s="7" t="s">
        <v>515</v>
      </c>
      <c r="X70" s="7" t="s">
        <v>516</v>
      </c>
      <c r="Y70" s="8">
        <v>500000</v>
      </c>
      <c r="Z70" s="8">
        <v>500000</v>
      </c>
      <c r="AA70" s="8">
        <v>500000</v>
      </c>
      <c r="AB70" s="8">
        <v>500000</v>
      </c>
      <c r="AC70" s="8">
        <v>500000</v>
      </c>
      <c r="AD70" s="7" t="s">
        <v>173</v>
      </c>
    </row>
    <row r="71" spans="1:30">
      <c r="A71" s="10" t="s">
        <v>461</v>
      </c>
      <c r="B71" s="4" t="s">
        <v>517</v>
      </c>
      <c r="C71" s="5" t="s">
        <v>175</v>
      </c>
      <c r="D71" s="5">
        <v>711375</v>
      </c>
      <c r="E71" s="5">
        <v>272</v>
      </c>
      <c r="F71" s="6" t="s">
        <v>32</v>
      </c>
      <c r="G71" s="7" t="s">
        <v>176</v>
      </c>
      <c r="H71" s="7">
        <v>2005</v>
      </c>
      <c r="I71" s="7" t="s">
        <v>198</v>
      </c>
      <c r="J71" s="7" t="s">
        <v>175</v>
      </c>
      <c r="K71" s="7" t="s">
        <v>518</v>
      </c>
      <c r="L71" s="7" t="s">
        <v>519</v>
      </c>
      <c r="M71" s="7"/>
      <c r="N71" s="7" t="s">
        <v>520</v>
      </c>
      <c r="O71" s="7">
        <v>100</v>
      </c>
      <c r="P71" s="7" t="s">
        <v>457</v>
      </c>
      <c r="Q71" s="7" t="s">
        <v>521</v>
      </c>
      <c r="R71" s="7" t="s">
        <v>38</v>
      </c>
      <c r="S71" s="8">
        <v>591250</v>
      </c>
      <c r="T71" s="8">
        <v>0</v>
      </c>
      <c r="U71" s="8">
        <v>0</v>
      </c>
      <c r="V71" s="8">
        <f t="shared" si="1"/>
        <v>591250</v>
      </c>
      <c r="W71" s="7" t="s">
        <v>522</v>
      </c>
      <c r="X71" s="7" t="s">
        <v>523</v>
      </c>
      <c r="Y71" s="8">
        <v>591250</v>
      </c>
      <c r="Z71" s="8">
        <v>591250</v>
      </c>
      <c r="AA71" s="8">
        <v>591250</v>
      </c>
      <c r="AB71" s="8">
        <v>591250</v>
      </c>
      <c r="AC71" s="8">
        <v>591250</v>
      </c>
      <c r="AD71" s="7" t="s">
        <v>173</v>
      </c>
    </row>
    <row r="72" spans="1:30">
      <c r="A72" s="10" t="s">
        <v>461</v>
      </c>
      <c r="B72" s="4" t="s">
        <v>524</v>
      </c>
      <c r="C72" s="5" t="s">
        <v>175</v>
      </c>
      <c r="D72" s="5">
        <v>798508</v>
      </c>
      <c r="E72" s="5">
        <v>253</v>
      </c>
      <c r="F72" s="6" t="s">
        <v>32</v>
      </c>
      <c r="G72" s="7" t="s">
        <v>176</v>
      </c>
      <c r="H72" s="7">
        <v>2007</v>
      </c>
      <c r="I72" s="7" t="s">
        <v>177</v>
      </c>
      <c r="J72" s="7" t="s">
        <v>175</v>
      </c>
      <c r="K72" s="7" t="s">
        <v>178</v>
      </c>
      <c r="L72" s="7" t="s">
        <v>179</v>
      </c>
      <c r="M72" s="7"/>
      <c r="N72" s="7" t="s">
        <v>525</v>
      </c>
      <c r="O72" s="7">
        <v>100</v>
      </c>
      <c r="P72" s="7" t="s">
        <v>457</v>
      </c>
      <c r="Q72" s="7" t="s">
        <v>526</v>
      </c>
      <c r="R72" s="7" t="s">
        <v>38</v>
      </c>
      <c r="S72" s="8">
        <v>414750</v>
      </c>
      <c r="T72" s="8">
        <v>0</v>
      </c>
      <c r="U72" s="8">
        <v>0</v>
      </c>
      <c r="V72" s="8">
        <f t="shared" si="1"/>
        <v>414750</v>
      </c>
      <c r="W72" s="7" t="s">
        <v>515</v>
      </c>
      <c r="X72" s="7" t="s">
        <v>527</v>
      </c>
      <c r="Y72" s="8">
        <v>414750</v>
      </c>
      <c r="Z72" s="8">
        <v>414750</v>
      </c>
      <c r="AA72" s="8">
        <v>414750</v>
      </c>
      <c r="AB72" s="8">
        <v>414750</v>
      </c>
      <c r="AC72" s="8">
        <v>414750</v>
      </c>
      <c r="AD72" s="7" t="s">
        <v>173</v>
      </c>
    </row>
    <row r="73" spans="1:30">
      <c r="A73" s="10" t="s">
        <v>461</v>
      </c>
      <c r="B73" s="4" t="s">
        <v>528</v>
      </c>
      <c r="C73" s="5" t="s">
        <v>175</v>
      </c>
      <c r="D73" s="5">
        <v>758367</v>
      </c>
      <c r="E73" s="5">
        <v>262</v>
      </c>
      <c r="F73" s="6" t="s">
        <v>32</v>
      </c>
      <c r="G73" s="7" t="s">
        <v>33</v>
      </c>
      <c r="H73" s="7">
        <v>1990</v>
      </c>
      <c r="I73" s="7" t="s">
        <v>198</v>
      </c>
      <c r="J73" s="7" t="s">
        <v>175</v>
      </c>
      <c r="K73" s="7" t="s">
        <v>529</v>
      </c>
      <c r="L73" s="7"/>
      <c r="M73" s="7"/>
      <c r="N73" s="7" t="s">
        <v>530</v>
      </c>
      <c r="O73" s="7">
        <v>100</v>
      </c>
      <c r="P73" s="7" t="s">
        <v>457</v>
      </c>
      <c r="Q73" s="7" t="s">
        <v>531</v>
      </c>
      <c r="R73" s="7" t="s">
        <v>38</v>
      </c>
      <c r="S73" s="8">
        <v>875000</v>
      </c>
      <c r="T73" s="8">
        <v>0</v>
      </c>
      <c r="U73" s="8">
        <v>0</v>
      </c>
      <c r="V73" s="8">
        <f t="shared" si="1"/>
        <v>875000</v>
      </c>
      <c r="W73" s="7" t="s">
        <v>532</v>
      </c>
      <c r="X73" s="7" t="s">
        <v>533</v>
      </c>
      <c r="Y73" s="8">
        <v>875000</v>
      </c>
      <c r="Z73" s="8">
        <v>875000</v>
      </c>
      <c r="AA73" s="8">
        <v>875000</v>
      </c>
      <c r="AB73" s="8">
        <v>875000</v>
      </c>
      <c r="AC73" s="8">
        <v>875000</v>
      </c>
      <c r="AD73" s="7" t="s">
        <v>173</v>
      </c>
    </row>
    <row r="74" spans="1:30">
      <c r="A74" s="10" t="s">
        <v>461</v>
      </c>
      <c r="B74" s="4" t="s">
        <v>534</v>
      </c>
      <c r="C74" s="5" t="s">
        <v>175</v>
      </c>
      <c r="D74" s="5">
        <v>663258</v>
      </c>
      <c r="E74" s="5">
        <v>284</v>
      </c>
      <c r="F74" s="6" t="s">
        <v>32</v>
      </c>
      <c r="G74" s="7" t="s">
        <v>33</v>
      </c>
      <c r="H74" s="7">
        <v>2000</v>
      </c>
      <c r="I74" s="7" t="s">
        <v>185</v>
      </c>
      <c r="J74" s="7" t="s">
        <v>175</v>
      </c>
      <c r="K74" s="7" t="s">
        <v>192</v>
      </c>
      <c r="L74" s="7" t="s">
        <v>535</v>
      </c>
      <c r="M74" s="7"/>
      <c r="N74" s="7" t="s">
        <v>536</v>
      </c>
      <c r="O74" s="7">
        <v>100</v>
      </c>
      <c r="P74" s="7" t="s">
        <v>457</v>
      </c>
      <c r="Q74" s="7" t="s">
        <v>537</v>
      </c>
      <c r="R74" s="7" t="s">
        <v>38</v>
      </c>
      <c r="S74" s="8">
        <v>650000</v>
      </c>
      <c r="T74" s="8">
        <v>0</v>
      </c>
      <c r="U74" s="8">
        <v>0</v>
      </c>
      <c r="V74" s="8">
        <f t="shared" si="1"/>
        <v>650000</v>
      </c>
      <c r="W74" s="7" t="s">
        <v>522</v>
      </c>
      <c r="X74" s="7" t="s">
        <v>538</v>
      </c>
      <c r="Y74" s="8">
        <v>650000</v>
      </c>
      <c r="Z74" s="8">
        <v>650000</v>
      </c>
      <c r="AA74" s="8">
        <v>650000</v>
      </c>
      <c r="AB74" s="8">
        <v>650000</v>
      </c>
      <c r="AC74" s="8">
        <v>650000</v>
      </c>
      <c r="AD74" s="7" t="s">
        <v>173</v>
      </c>
    </row>
    <row r="75" spans="1:30">
      <c r="A75" s="10" t="s">
        <v>461</v>
      </c>
      <c r="B75" s="4" t="s">
        <v>539</v>
      </c>
      <c r="C75" s="5" t="s">
        <v>175</v>
      </c>
      <c r="D75" s="5">
        <v>677738</v>
      </c>
      <c r="E75" s="5">
        <v>280</v>
      </c>
      <c r="F75" s="6" t="s">
        <v>32</v>
      </c>
      <c r="G75" s="7" t="s">
        <v>176</v>
      </c>
      <c r="H75" s="7">
        <v>1989</v>
      </c>
      <c r="I75" s="7" t="s">
        <v>248</v>
      </c>
      <c r="J75" s="7" t="s">
        <v>175</v>
      </c>
      <c r="K75" s="7" t="s">
        <v>249</v>
      </c>
      <c r="L75" s="7" t="s">
        <v>250</v>
      </c>
      <c r="M75" s="7" t="s">
        <v>251</v>
      </c>
      <c r="N75" s="7" t="s">
        <v>252</v>
      </c>
      <c r="O75" s="7">
        <v>100</v>
      </c>
      <c r="P75" s="7" t="s">
        <v>457</v>
      </c>
      <c r="Q75" s="7" t="s">
        <v>540</v>
      </c>
      <c r="R75" s="7" t="s">
        <v>38</v>
      </c>
      <c r="S75" s="8">
        <v>350000</v>
      </c>
      <c r="T75" s="8">
        <v>0</v>
      </c>
      <c r="U75" s="8">
        <v>0</v>
      </c>
      <c r="V75" s="8">
        <f t="shared" si="1"/>
        <v>350000</v>
      </c>
      <c r="W75" s="7" t="s">
        <v>541</v>
      </c>
      <c r="X75" s="7" t="s">
        <v>542</v>
      </c>
      <c r="Y75" s="8">
        <v>350000</v>
      </c>
      <c r="Z75" s="8">
        <v>350000</v>
      </c>
      <c r="AA75" s="8">
        <v>350000</v>
      </c>
      <c r="AB75" s="8">
        <v>350000</v>
      </c>
      <c r="AC75" s="8">
        <v>350000</v>
      </c>
      <c r="AD75" s="7" t="s">
        <v>543</v>
      </c>
    </row>
    <row r="76" spans="1:30">
      <c r="A76" s="10" t="s">
        <v>461</v>
      </c>
      <c r="B76" s="4" t="s">
        <v>544</v>
      </c>
      <c r="C76" s="5" t="s">
        <v>175</v>
      </c>
      <c r="D76" s="5">
        <v>755076</v>
      </c>
      <c r="E76" s="5">
        <v>262</v>
      </c>
      <c r="F76" s="6" t="s">
        <v>32</v>
      </c>
      <c r="G76" s="7" t="s">
        <v>176</v>
      </c>
      <c r="H76" s="7"/>
      <c r="I76" s="7" t="s">
        <v>223</v>
      </c>
      <c r="J76" s="7" t="s">
        <v>175</v>
      </c>
      <c r="K76" s="7" t="s">
        <v>545</v>
      </c>
      <c r="L76" s="7" t="s">
        <v>225</v>
      </c>
      <c r="M76" s="7" t="s">
        <v>226</v>
      </c>
      <c r="N76" s="7" t="s">
        <v>227</v>
      </c>
      <c r="O76" s="7">
        <v>100</v>
      </c>
      <c r="P76" s="7" t="s">
        <v>457</v>
      </c>
      <c r="Q76" s="7" t="s">
        <v>540</v>
      </c>
      <c r="R76" s="7" t="s">
        <v>38</v>
      </c>
      <c r="S76" s="8">
        <v>425000</v>
      </c>
      <c r="T76" s="8">
        <v>0</v>
      </c>
      <c r="U76" s="8">
        <v>0</v>
      </c>
      <c r="V76" s="8">
        <f t="shared" si="1"/>
        <v>425000</v>
      </c>
      <c r="W76" s="7" t="s">
        <v>546</v>
      </c>
      <c r="X76" s="7" t="s">
        <v>547</v>
      </c>
      <c r="Y76" s="8">
        <v>425000</v>
      </c>
      <c r="Z76" s="8">
        <v>425000</v>
      </c>
      <c r="AA76" s="8">
        <v>425000</v>
      </c>
      <c r="AB76" s="8">
        <v>425000</v>
      </c>
      <c r="AC76" s="8">
        <v>425000</v>
      </c>
      <c r="AD76" s="7" t="s">
        <v>548</v>
      </c>
    </row>
    <row r="77" spans="1:30">
      <c r="A77" s="10" t="s">
        <v>461</v>
      </c>
      <c r="B77" s="4" t="s">
        <v>549</v>
      </c>
      <c r="C77" s="5" t="s">
        <v>175</v>
      </c>
      <c r="D77" s="5">
        <v>898058</v>
      </c>
      <c r="E77" s="5">
        <v>232</v>
      </c>
      <c r="F77" s="6" t="s">
        <v>32</v>
      </c>
      <c r="G77" s="7" t="s">
        <v>33</v>
      </c>
      <c r="H77" s="7">
        <v>1990</v>
      </c>
      <c r="I77" s="7" t="s">
        <v>216</v>
      </c>
      <c r="J77" s="7" t="s">
        <v>175</v>
      </c>
      <c r="K77" s="7" t="s">
        <v>217</v>
      </c>
      <c r="L77" s="7"/>
      <c r="M77" s="7"/>
      <c r="N77" s="7" t="s">
        <v>550</v>
      </c>
      <c r="O77" s="7">
        <v>100</v>
      </c>
      <c r="P77" s="7" t="s">
        <v>457</v>
      </c>
      <c r="Q77" s="7" t="s">
        <v>540</v>
      </c>
      <c r="R77" s="7" t="s">
        <v>38</v>
      </c>
      <c r="S77" s="8">
        <v>475000</v>
      </c>
      <c r="T77" s="8">
        <v>0</v>
      </c>
      <c r="U77" s="8">
        <v>0</v>
      </c>
      <c r="V77" s="8">
        <f t="shared" si="1"/>
        <v>475000</v>
      </c>
      <c r="W77" s="7" t="s">
        <v>532</v>
      </c>
      <c r="X77" s="7" t="s">
        <v>551</v>
      </c>
      <c r="Y77" s="8">
        <v>475000</v>
      </c>
      <c r="Z77" s="8">
        <v>475000</v>
      </c>
      <c r="AA77" s="8">
        <v>475000</v>
      </c>
      <c r="AB77" s="8">
        <v>475000</v>
      </c>
      <c r="AC77" s="8">
        <v>475000</v>
      </c>
      <c r="AD77" s="7" t="s">
        <v>173</v>
      </c>
    </row>
    <row r="78" spans="1:30">
      <c r="A78" s="10" t="s">
        <v>461</v>
      </c>
      <c r="B78" s="4" t="s">
        <v>552</v>
      </c>
      <c r="C78" s="5" t="s">
        <v>282</v>
      </c>
      <c r="D78" s="5">
        <v>745471</v>
      </c>
      <c r="E78" s="5">
        <v>265</v>
      </c>
      <c r="F78" s="6" t="s">
        <v>32</v>
      </c>
      <c r="G78" s="7" t="s">
        <v>33</v>
      </c>
      <c r="H78" s="7">
        <v>2005</v>
      </c>
      <c r="I78" s="7" t="s">
        <v>283</v>
      </c>
      <c r="J78" s="7" t="s">
        <v>282</v>
      </c>
      <c r="K78" s="7" t="s">
        <v>553</v>
      </c>
      <c r="L78" s="7"/>
      <c r="M78" s="7"/>
      <c r="N78" s="7" t="s">
        <v>554</v>
      </c>
      <c r="O78" s="7">
        <v>100</v>
      </c>
      <c r="P78" s="7" t="s">
        <v>457</v>
      </c>
      <c r="Q78" s="7" t="s">
        <v>540</v>
      </c>
      <c r="R78" s="7" t="s">
        <v>38</v>
      </c>
      <c r="S78" s="8">
        <v>759500</v>
      </c>
      <c r="T78" s="8">
        <v>0</v>
      </c>
      <c r="U78" s="8">
        <v>0</v>
      </c>
      <c r="V78" s="8">
        <f t="shared" si="1"/>
        <v>759500</v>
      </c>
      <c r="W78" s="7" t="s">
        <v>555</v>
      </c>
      <c r="X78" s="7" t="s">
        <v>556</v>
      </c>
      <c r="Y78" s="8">
        <v>759500</v>
      </c>
      <c r="Z78" s="8">
        <v>759500</v>
      </c>
      <c r="AA78" s="8">
        <v>759500</v>
      </c>
      <c r="AB78" s="8">
        <v>759500</v>
      </c>
      <c r="AC78" s="8">
        <v>759500</v>
      </c>
      <c r="AD78" s="7" t="s">
        <v>557</v>
      </c>
    </row>
    <row r="79" spans="1:30">
      <c r="A79" s="10" t="s">
        <v>461</v>
      </c>
      <c r="B79" s="4" t="s">
        <v>558</v>
      </c>
      <c r="C79" s="5" t="s">
        <v>282</v>
      </c>
      <c r="D79" s="5">
        <v>869882</v>
      </c>
      <c r="E79" s="5">
        <v>238</v>
      </c>
      <c r="F79" s="6" t="s">
        <v>32</v>
      </c>
      <c r="G79" s="7" t="s">
        <v>33</v>
      </c>
      <c r="H79" s="7">
        <v>2007</v>
      </c>
      <c r="I79" s="7" t="s">
        <v>283</v>
      </c>
      <c r="J79" s="7" t="s">
        <v>282</v>
      </c>
      <c r="K79" s="7" t="s">
        <v>559</v>
      </c>
      <c r="L79" s="7" t="s">
        <v>560</v>
      </c>
      <c r="M79" s="7" t="s">
        <v>561</v>
      </c>
      <c r="N79" s="7" t="s">
        <v>562</v>
      </c>
      <c r="O79" s="7">
        <v>100</v>
      </c>
      <c r="P79" s="7" t="s">
        <v>457</v>
      </c>
      <c r="Q79" s="7" t="s">
        <v>563</v>
      </c>
      <c r="R79" s="7" t="s">
        <v>38</v>
      </c>
      <c r="S79" s="8">
        <v>650000</v>
      </c>
      <c r="T79" s="8">
        <v>0</v>
      </c>
      <c r="U79" s="8">
        <v>0</v>
      </c>
      <c r="V79" s="8">
        <f t="shared" si="1"/>
        <v>650000</v>
      </c>
      <c r="W79" s="7" t="s">
        <v>564</v>
      </c>
      <c r="X79" s="7" t="s">
        <v>565</v>
      </c>
      <c r="Y79" s="8">
        <v>650000</v>
      </c>
      <c r="Z79" s="8">
        <v>650000</v>
      </c>
      <c r="AA79" s="8">
        <v>650000</v>
      </c>
      <c r="AB79" s="8">
        <v>650000</v>
      </c>
      <c r="AC79" s="8">
        <v>650000</v>
      </c>
      <c r="AD79" s="7" t="s">
        <v>173</v>
      </c>
    </row>
    <row r="80" spans="1:30">
      <c r="A80" s="10" t="s">
        <v>461</v>
      </c>
      <c r="B80" s="4" t="s">
        <v>566</v>
      </c>
      <c r="C80" s="5" t="s">
        <v>307</v>
      </c>
      <c r="D80" s="5">
        <v>896345</v>
      </c>
      <c r="E80" s="5">
        <v>232</v>
      </c>
      <c r="F80" s="6" t="s">
        <v>32</v>
      </c>
      <c r="G80" s="7" t="s">
        <v>176</v>
      </c>
      <c r="H80" s="7">
        <v>2006</v>
      </c>
      <c r="I80" s="7" t="s">
        <v>307</v>
      </c>
      <c r="J80" s="7" t="s">
        <v>307</v>
      </c>
      <c r="K80" s="7" t="s">
        <v>567</v>
      </c>
      <c r="L80" s="7"/>
      <c r="M80" s="7"/>
      <c r="N80" s="7" t="s">
        <v>568</v>
      </c>
      <c r="O80" s="7">
        <v>100</v>
      </c>
      <c r="P80" s="7" t="s">
        <v>457</v>
      </c>
      <c r="Q80" s="7" t="s">
        <v>569</v>
      </c>
      <c r="R80" s="7" t="s">
        <v>38</v>
      </c>
      <c r="S80" s="8"/>
      <c r="T80" s="8"/>
      <c r="U80" s="8"/>
      <c r="V80" s="8" t="str">
        <f t="shared" si="1"/>
        <v/>
      </c>
      <c r="W80" s="7" t="s">
        <v>39</v>
      </c>
      <c r="X80" s="7" t="s">
        <v>570</v>
      </c>
      <c r="Y80" s="8"/>
      <c r="Z80" s="8"/>
      <c r="AA80" s="8"/>
      <c r="AB80" s="8"/>
      <c r="AC80" s="8"/>
      <c r="AD80" s="7" t="s">
        <v>571</v>
      </c>
    </row>
    <row r="81" spans="1:30">
      <c r="A81" s="10" t="s">
        <v>461</v>
      </c>
      <c r="B81" s="4" t="s">
        <v>572</v>
      </c>
      <c r="C81" s="5" t="s">
        <v>333</v>
      </c>
      <c r="D81" s="5">
        <v>843391</v>
      </c>
      <c r="E81" s="5">
        <v>243</v>
      </c>
      <c r="F81" s="6" t="s">
        <v>32</v>
      </c>
      <c r="G81" s="7" t="s">
        <v>33</v>
      </c>
      <c r="H81" s="7">
        <v>1990</v>
      </c>
      <c r="I81" s="7" t="s">
        <v>334</v>
      </c>
      <c r="J81" s="7" t="s">
        <v>333</v>
      </c>
      <c r="K81" s="7" t="s">
        <v>573</v>
      </c>
      <c r="L81" s="7"/>
      <c r="M81" s="7"/>
      <c r="N81" s="7" t="s">
        <v>574</v>
      </c>
      <c r="O81" s="7">
        <v>100</v>
      </c>
      <c r="P81" s="7" t="s">
        <v>457</v>
      </c>
      <c r="Q81" s="7" t="s">
        <v>575</v>
      </c>
      <c r="R81" s="7" t="s">
        <v>38</v>
      </c>
      <c r="S81" s="8">
        <v>550000</v>
      </c>
      <c r="T81" s="8">
        <v>0</v>
      </c>
      <c r="U81" s="8">
        <v>0</v>
      </c>
      <c r="V81" s="8">
        <f t="shared" si="1"/>
        <v>550000</v>
      </c>
      <c r="W81" s="7" t="s">
        <v>39</v>
      </c>
      <c r="X81" s="7" t="s">
        <v>576</v>
      </c>
      <c r="Y81" s="8">
        <v>550000</v>
      </c>
      <c r="Z81" s="8">
        <v>550000</v>
      </c>
      <c r="AA81" s="8">
        <v>550000</v>
      </c>
      <c r="AB81" s="8">
        <v>550000</v>
      </c>
      <c r="AC81" s="8">
        <v>550000</v>
      </c>
      <c r="AD81" s="7" t="s">
        <v>324</v>
      </c>
    </row>
    <row r="82" spans="1:30">
      <c r="A82" s="10" t="s">
        <v>461</v>
      </c>
      <c r="B82" s="4" t="s">
        <v>577</v>
      </c>
      <c r="C82" s="5" t="s">
        <v>333</v>
      </c>
      <c r="D82" s="5">
        <v>948148</v>
      </c>
      <c r="E82" s="5">
        <v>222</v>
      </c>
      <c r="F82" s="6" t="s">
        <v>32</v>
      </c>
      <c r="G82" s="7" t="s">
        <v>33</v>
      </c>
      <c r="H82" s="7">
        <v>2009</v>
      </c>
      <c r="I82" s="7" t="s">
        <v>334</v>
      </c>
      <c r="J82" s="7" t="s">
        <v>333</v>
      </c>
      <c r="K82" s="7" t="s">
        <v>578</v>
      </c>
      <c r="L82" s="7"/>
      <c r="M82" s="7"/>
      <c r="N82" s="7" t="s">
        <v>579</v>
      </c>
      <c r="O82" s="7">
        <v>100</v>
      </c>
      <c r="P82" s="7" t="s">
        <v>457</v>
      </c>
      <c r="Q82" s="7" t="s">
        <v>580</v>
      </c>
      <c r="R82" s="7" t="s">
        <v>38</v>
      </c>
      <c r="S82" s="8">
        <v>450000</v>
      </c>
      <c r="T82" s="8">
        <v>0</v>
      </c>
      <c r="U82" s="8">
        <v>0</v>
      </c>
      <c r="V82" s="8">
        <f t="shared" si="1"/>
        <v>450000</v>
      </c>
      <c r="W82" s="7" t="s">
        <v>39</v>
      </c>
      <c r="X82" s="7" t="s">
        <v>581</v>
      </c>
      <c r="Y82" s="8">
        <v>450000</v>
      </c>
      <c r="Z82" s="8">
        <v>450000</v>
      </c>
      <c r="AA82" s="8">
        <v>450000</v>
      </c>
      <c r="AB82" s="8">
        <v>450000</v>
      </c>
      <c r="AC82" s="8">
        <v>450000</v>
      </c>
      <c r="AD82" s="7" t="s">
        <v>324</v>
      </c>
    </row>
    <row r="83" spans="1:30">
      <c r="A83" s="10" t="s">
        <v>461</v>
      </c>
      <c r="B83" s="4" t="s">
        <v>582</v>
      </c>
      <c r="C83" s="5" t="s">
        <v>333</v>
      </c>
      <c r="D83" s="5">
        <v>516549</v>
      </c>
      <c r="E83" s="5">
        <v>321</v>
      </c>
      <c r="F83" s="6" t="s">
        <v>32</v>
      </c>
      <c r="G83" s="7" t="s">
        <v>33</v>
      </c>
      <c r="H83" s="7">
        <v>1988</v>
      </c>
      <c r="I83" s="7" t="s">
        <v>334</v>
      </c>
      <c r="J83" s="7" t="s">
        <v>333</v>
      </c>
      <c r="K83" s="7" t="s">
        <v>583</v>
      </c>
      <c r="L83" s="7" t="s">
        <v>584</v>
      </c>
      <c r="M83" s="7"/>
      <c r="N83" s="7" t="s">
        <v>585</v>
      </c>
      <c r="O83" s="7">
        <v>100</v>
      </c>
      <c r="P83" s="7" t="s">
        <v>457</v>
      </c>
      <c r="Q83" s="7" t="s">
        <v>586</v>
      </c>
      <c r="R83" s="7" t="s">
        <v>38</v>
      </c>
      <c r="S83" s="8">
        <v>910000</v>
      </c>
      <c r="T83" s="8">
        <v>0</v>
      </c>
      <c r="U83" s="8">
        <v>0</v>
      </c>
      <c r="V83" s="8">
        <f t="shared" si="1"/>
        <v>910000</v>
      </c>
      <c r="W83" s="7" t="s">
        <v>39</v>
      </c>
      <c r="X83" s="7" t="s">
        <v>587</v>
      </c>
      <c r="Y83" s="8">
        <v>910000</v>
      </c>
      <c r="Z83" s="8">
        <v>910000</v>
      </c>
      <c r="AA83" s="8">
        <v>910000</v>
      </c>
      <c r="AB83" s="8">
        <v>910000</v>
      </c>
      <c r="AC83" s="8">
        <v>910000</v>
      </c>
      <c r="AD83" s="7" t="s">
        <v>324</v>
      </c>
    </row>
  </sheetData>
  <autoFilter xmlns:etc="http://www.wps.cn/officeDocument/2017/etCustomData" ref="A1:F83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Deemed MBBS + BDS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Radhesham</cp:lastModifiedBy>
  <dcterms:created xsi:type="dcterms:W3CDTF">2026-07-18T14:16:00Z</dcterms:created>
  <dcterms:modified xsi:type="dcterms:W3CDTF">2026-09-25T19:33:59Z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D1FA4902177B404E8808DB65D6460FAC_13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