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000" tabRatio="500"/>
  </bookViews>
  <sheets>
    <sheet name="MBBS Cutoff 2025"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Claude</author>
  </authors>
  <commentList>
    <comment ref="Q1" authorId="0">
      <text>
        <r>
          <rPr>
            <sz val="10"/>
            <rFont val="SimSun"/>
            <charset val="134"/>
          </rPr>
          <t>Annual MBBS fees in INR for the seat type open to other-state candidates (management/open quota, not NRI; see Fee Quota Basis), most recent session found (mostly 2025-26). Hostel &amp; mess excluded. Total Annual Fee = Tuition + Development + Other (formula).</t>
        </r>
      </text>
    </comment>
    <comment ref="W1" authorId="0">
      <text>
        <r>
          <rPr>
            <sz val="10"/>
            <rFont val="SimSun"/>
            <charset val="134"/>
          </rPr>
          <t>Annual fee payable at admission by a candidate of each category on that seat type. Scholarships reimbursed later are not deducted; domicile-only state concessions do not apply to other-state candidates. See "Category Fee Note".</t>
        </r>
      </text>
    </comment>
  </commentList>
</comments>
</file>

<file path=xl/sharedStrings.xml><?xml version="1.0" encoding="utf-8"?>
<sst xmlns="http://schemas.openxmlformats.org/spreadsheetml/2006/main" count="1865" uniqueCount="932">
  <si>
    <t>College Name</t>
  </si>
  <si>
    <t>State</t>
  </si>
  <si>
    <t>AIR 2025</t>
  </si>
  <si>
    <t>Marks</t>
  </si>
  <si>
    <t>Type</t>
  </si>
  <si>
    <t>Established Year</t>
  </si>
  <si>
    <t>City</t>
  </si>
  <si>
    <t>Address</t>
  </si>
  <si>
    <t>Phone</t>
  </si>
  <si>
    <t>Email</t>
  </si>
  <si>
    <t>Website</t>
  </si>
  <si>
    <t>Total Seats</t>
  </si>
  <si>
    <t>Course Availables</t>
  </si>
  <si>
    <t>Facilities</t>
  </si>
  <si>
    <t>Hostel Available(Yes or No)</t>
  </si>
  <si>
    <t>Tuition Fee</t>
  </si>
  <si>
    <t>Development Fee</t>
  </si>
  <si>
    <t>Other Fees Total</t>
  </si>
  <si>
    <t>Total Annual Fee</t>
  </si>
  <si>
    <t>Fee Quota Basis</t>
  </si>
  <si>
    <t>Fee Source / Note</t>
  </si>
  <si>
    <t>Open Fee</t>
  </si>
  <si>
    <t>OBC Fee</t>
  </si>
  <si>
    <t>EWS Fee</t>
  </si>
  <si>
    <t>SC Fee</t>
  </si>
  <si>
    <t>ST Fee</t>
  </si>
  <si>
    <t>Category Fee Note</t>
  </si>
  <si>
    <t>Jubilee Mission Medical College &amp; Research Institute, Thrissur (Christian Minority)</t>
  </si>
  <si>
    <t>Kerala</t>
  </si>
  <si>
    <t>Private (Christian Minority)</t>
  </si>
  <si>
    <t>Thrissur</t>
  </si>
  <si>
    <t>Jubilee Mission Medical College, P.O. Jubilee Mission, East Fort, Thrissur, Kerala 680005</t>
  </si>
  <si>
    <t>0487-2464346 / 0487-2464347</t>
  </si>
  <si>
    <t>https://www.jmmcri.org/</t>
  </si>
  <si>
    <t>MBBS, MD, MS, DM, MCh, Diploma courses</t>
  </si>
  <si>
    <t>1500-bed attached hospital, ~1654 daily OPD capacity, library, labs</t>
  </si>
  <si>
    <t>Yes</t>
  </si>
  <si>
    <t>Management/Community (General, non-NRI) quota 2025-26</t>
  </si>
  <si>
    <t>Only a combined annual fee figure was published (~Rs 8,56,840); could not split into tuition/development/other components so full amount placed in tuition_fee and the other two set to 0. NRI quota fee reported as approx Rs 22,49,006/year. This figure appeared identical to another Kerala college's listing on the same aggregator, so treat as approximate pending confirmation from KUHS/Kerala Admission Supervisory Committee official fee order. | mbbscouncil.com/listing/jubilee-mission-medical-college-and-research-institute-thrissur/</t>
  </si>
  <si>
    <t>Kerala self-financing/minority medical colleges publish a single fee for all non-NRI (General/community/management) quota seats; state SC/ST fee concessions apply only to government-quota domicile seats, not to the community/management quota seats open-state candidates would get. No category-wise differentiation found for this quota. Source: mbbscouncil.com listing.</t>
  </si>
  <si>
    <t>Amala Institute of Medical Sciences, Thrissur (Christian Minority)</t>
  </si>
  <si>
    <t>Amala Institute of Medical Sciences, PO Amalanagar, Thrissur, Kerala 680555</t>
  </si>
  <si>
    <t>0487-2304000 / 0487-2304113</t>
  </si>
  <si>
    <t>http://amalaims.org/</t>
  </si>
  <si>
    <t>MBBS, MD, MS, Diploma, DM, MCh (18 PG + 6 super-speciality programs)</t>
  </si>
  <si>
    <t>300-bed attached hospital incl. 12-bed ICU, 60-bed paediatric ward, 120-bed general ward, library (3,216 books), 4 lecture halls, CT scan/digital radiology</t>
  </si>
  <si>
    <t>Combined annual fee only; no separate tuition/development/other breakup found so full amount placed in tuition_fee and other two set to 0. NRI quota fee reported as approx Rs 21,65,720/year (one source) or Rs 22,49,006/year (another, likely templated) - treat NRI figure as indicative only. One-time charges reported separately: Rs 10,000 security deposit + Rs 55,551 special fee (not included in tuition_fee above). | Aggregated web search citing verified 2025-26 fee order (bodmaseducation.com/mbbscouncil.com); mbbscouncil.com listing shows a differing figure of Rs 8,56,840 which appears templated across colleges</t>
  </si>
  <si>
    <t>Kerala self-financing/minority medical colleges publish a single fee for all non-NRI (General/community/management) quota seats; state SC/ST fee concessions apply only to government-quota domicile seats, not to the community/management quota seats open-state candidates would get. No category-wise differentiation found for this quota.</t>
  </si>
  <si>
    <t>Pushpagiri Institute Of Medical Sciences and Research Centre, Tiruvalla (Christian Minority)</t>
  </si>
  <si>
    <t>Tiruvalla (Thiruvalla)</t>
  </si>
  <si>
    <t>Near Pvt Bus Stand, Thiruvalla, Pathanamthitta, Kerala 689101</t>
  </si>
  <si>
    <t>+91-469-2733761 / +91-469-2700755</t>
  </si>
  <si>
    <t>pcm@pushpagiri.in</t>
  </si>
  <si>
    <t>https://www.pimsrc.edu.in</t>
  </si>
  <si>
    <t>MBBS</t>
  </si>
  <si>
    <t>Teaching hospital, library, hostel (details not fully verified)</t>
  </si>
  <si>
    <t>General/Merit (85%) quota - CEE Kerala counselling, 2025-26 (AFRC fee)</t>
  </si>
  <si>
    <t>Only a single tuition figure found, no development/other breakup so full amount placed in tuition_fee. Other figures reported: Management (direct) quota Rs 7,77,180/yr; NRI quota Rs 22,49,006/yr. Not independently verified against an official AFRC order copy. | mbbscouncil.com, edufever.com (Pushpagiri fee pages), aggregated 2025-26 figures</t>
  </si>
  <si>
    <t>Private self-financing college; open/merit-quota fee is uniform across categories per AFRC Kerala practice. State SC/ST fee concessions apply only to domicile government-quota seats, not to other-state candidates on this quota.</t>
  </si>
  <si>
    <t>Malankara Orthodox Syrian Church Medical College, Kolenchery (Christian Minority)</t>
  </si>
  <si>
    <t>Kolenchery</t>
  </si>
  <si>
    <t>Medical College Road, Kolenchery P.O., Ernakulam - 682311, Kerala</t>
  </si>
  <si>
    <t>https://mosciahs.edu.in</t>
  </si>
  <si>
    <t>Teaching hospital (details not fully verified)</t>
  </si>
  <si>
    <t>General/Merit quota - CEE Kerala counselling, 2025-26 (estimated)</t>
  </si>
  <si>
    <t>Only a total course fee of approx Rs 40.8 lakh (5 years) was found; divided by 5 academic years to estimate an annual figure (~Rs 8.16 lakh/yr). Not an official year-wise AFRC breakdown. | blog.rmgoe.org, mosciahs.edu.in (MBBS fee total figure)</t>
  </si>
  <si>
    <t>Private self-financing college; open/merit-quota fee is uniform across categories. State SC/ST fee concessions apply only to domicile government-quota seats, not to other-state candidates on this quota.</t>
  </si>
  <si>
    <t>Al-Ameen Medical College, Bijapur</t>
  </si>
  <si>
    <t>Karnataka</t>
  </si>
  <si>
    <t>Private (Muslim Minority)</t>
  </si>
  <si>
    <t>Vijayapura (Bijapur)</t>
  </si>
  <si>
    <t>Athani Road, Vijayapura, Karnataka - 586108</t>
  </si>
  <si>
    <t>08352-270045</t>
  </si>
  <si>
    <t>https://www.alameenmedical.org</t>
  </si>
  <si>
    <t>200-acre campus with attached teaching hospital</t>
  </si>
  <si>
    <t>Private/COMEDK (P) quota 2025-26 (open to candidates from other states, no domicile required)</t>
  </si>
  <si>
    <t>KEA's P (Private/open) category is the seat category filled via COMEDK UGET/KEA counselling without Karnataka domicile requirement, so it is what an other-state candidate would get. Only one consolidated P-category tuition figure is published; development/other fee breakup not separately available so both set to 0. Government (G) quota fee (domicile-restricted) is Rs 1,53,571/annum; NRI quota fee is Rs 27,11,950/annum. | Karnataka Examinations Authority (KEA) college-wise MBBS fee structure 2025-26, reported by Medical Dialogues - https://medicaldialogues.in/news/education/medical-admissions/karnataka-mbbs-bds-complete-fee-structure-2025-26-out-govt-mbbs-seats-at-rs-64k-private-open-at-rs-15-lakh-go-up-to-rs-45-lakh-152314</t>
  </si>
  <si>
    <t>KEA's private/open (P) category fee is not differentiated by caste category; the same fee applies to all candidates admitted under this quota. Karnataka's SC/ST/OBC fee concessions apply only to the domicile-restricted Government (G) quota seats, not to the P quota.</t>
  </si>
  <si>
    <t>Sree Gokulam Medical College Trust &amp; Research Foundation, Trivandrum</t>
  </si>
  <si>
    <t>Private Trust</t>
  </si>
  <si>
    <t>Trivandrum (Venjaramoodu)</t>
  </si>
  <si>
    <t>Venjaramoodu, Thiruvananthapuram, Kerala (full postal address not confirmed)</t>
  </si>
  <si>
    <t>General/Merit (85%) quota - AFRC Kerala fee order, 2025-26</t>
  </si>
  <si>
    <t>NRI quota fee reported as Rs 22,74,006/yr. A separate aggregator estimate placed management-quota fee at Rs 20-22 lakh/yr but this is unverified against an official order. | Aggregated reporting citing Kerala fee order (careers360/collegeandfees style sites)</t>
  </si>
  <si>
    <t>Believers Church Medical College Hospital, Thiruvalla, Kerala (Christian Minority)</t>
  </si>
  <si>
    <t>Thiruvalla</t>
  </si>
  <si>
    <t>Believers Church Medical College Hospital, Thiruvalla, Pathanamthitta, Kerala (25-acre campus; exact postal address not confirmed)</t>
  </si>
  <si>
    <t>Teaching hospital, library, sports, cafeteria, blood bank, 25-acre campus</t>
  </si>
  <si>
    <t>Only a total course fee of approx Rs 40.8 lakh (5 years) was found; divided by 5 academic years to estimate an annual figure (~Rs 8.16 lakh/yr). Not an official year-wise AFRC breakdown. | blog.rmgoe.org / careers360 fee pages</t>
  </si>
  <si>
    <t>Kempegowda Institute of Medical Sciences, Bangalore</t>
  </si>
  <si>
    <t>Private</t>
  </si>
  <si>
    <t>Bengaluru</t>
  </si>
  <si>
    <t>Pre/Para-clinical campus: Banashankari II Stage, near BDA Complex, Bengaluru, Karnataka - 560070 (Hospital/clinical campus: K.R. Road, V.V. Puram, Bengaluru - 560004)</t>
  </si>
  <si>
    <t>http://www.kimsbangalore.edu.in</t>
  </si>
  <si>
    <t>KEA's P (Private/open) category is the seat category filled via COMEDK UGET/KEA counselling without Karnataka domicile requirement, so it is what an other-state candidate would get. Only one consolidated P-category tuition figure is published; development/other fee breakup not separately available so both set to 0. Government (G) quota fee (domicile-restricted) is Rs 1,53,571/annum; NRI quota fee is Rs 43,11,950/annum. | Karnataka Examinations Authority (KEA) college-wise MBBS fee structure 2025-26, reported by Medical Dialogues - https://medicaldialogues.in/news/education/medical-admissions/karnataka-mbbs-bds-complete-fee-structure-2025-26-out-govt-mbbs-seats-at-rs-64k-private-open-at-rs-15-lakh-go-up-to-rs-45-lakh-152314</t>
  </si>
  <si>
    <t>Vydehi Institute of Medical Science and Research Centre, Bangalore</t>
  </si>
  <si>
    <t>#82, EPIP Area, Nallurahalli, Whitefield, Bengaluru, Karnataka - 560066</t>
  </si>
  <si>
    <t>+91 7676846705 / +91 7483909860</t>
  </si>
  <si>
    <t>https://vims.ac.in</t>
  </si>
  <si>
    <t>65-acre campus with attached teaching hospital</t>
  </si>
  <si>
    <t>KEA's P (Private/open) category is the seat category filled via COMEDK UGET/KEA counselling without Karnataka domicile requirement, so it is what an other-state candidate would get. Only one consolidated P-category tuition figure is published; development/other fee breakup not separately available so both set to 0. Government (G) quota fee (domicile-restricted) is Rs 1,53,571/annum; NRI quota fee is Rs 44,11,950/annum. | Karnataka Examinations Authority (KEA) college-wise MBBS fee structure 2025-26, reported by Medical Dialogues - https://medicaldialogues.in/news/education/medical-admissions/karnataka-mbbs-bds-complete-fee-structure-2025-26-out-govt-mbbs-seats-at-rs-64k-private-open-at-rs-15-lakh-go-up-to-rs-45-lakh-152314</t>
  </si>
  <si>
    <t>Father Muller Institute of Med. Education &amp; Research, Mangalore</t>
  </si>
  <si>
    <t>Mangaluru</t>
  </si>
  <si>
    <t>Fr Muller's Road, Kankanady, Mangaluru, Karnataka - 575002</t>
  </si>
  <si>
    <t>https://www.fathermuller.edu.in</t>
  </si>
  <si>
    <t>KEA's P (Private/open) category is the seat category filled via COMEDK UGET/KEA counselling without Karnataka domicile requirement, so it is what an other-state candidate would get. Only one consolidated P-category tuition figure is published; development/other fee breakup not separately available so both set to 0. Government (G) quota fee (domicile-restricted) is Rs 1,53,571/annum; NRI quota fee is Rs 35,11,950/annum. | Karnataka Examinations Authority (KEA) college-wise MBBS fee structure 2025-26, reported by Medical Dialogues - https://medicaldialogues.in/news/education/medical-admissions/karnataka-mbbs-bds-complete-fee-structure-2025-26-out-govt-mbbs-seats-at-rs-64k-private-open-at-rs-15-lakh-go-up-to-rs-45-lakh-152314</t>
  </si>
  <si>
    <t>M E S Medical College , Perintalmanna Malappuram Distt (Muslim Minority)</t>
  </si>
  <si>
    <t>Perinthalmanna</t>
  </si>
  <si>
    <t>M E S Medical College, Perinthalmanna, Malappuram District, Kerala</t>
  </si>
  <si>
    <t>+91-7303848310</t>
  </si>
  <si>
    <t>60-acre campus, teaching hospital (details not fully verified)</t>
  </si>
  <si>
    <t>General/Merit quota - CEE Kerala counselling, 2025-26</t>
  </si>
  <si>
    <t>Sources give a range of Rs 8,16,038 to Rs 8,56,840/yr for merit/management quota without specifying exact category boundaries; lower bound used. NRI/OCI fee reported in range Rs 21,65,720 to Rs 22,74,006/yr. | Aggregated fee pages (mbbsexperts.in, collegeandfees.com)</t>
  </si>
  <si>
    <t>KMCT Medical College, Kozhikode, Calicut (Muslim Minority)</t>
  </si>
  <si>
    <t>Kozhikode (Mukkam)</t>
  </si>
  <si>
    <t>Manassery P.O., Mukkam, Kozhikode District, Kerala</t>
  </si>
  <si>
    <t>NRI (15%) tuition reported as Rs 22,74,006/yr per the same fee order citation. | Kerala fee order as cited by collegeandfees.com / careers360</t>
  </si>
  <si>
    <t>Travancore Medical College, Mylapore, Umayanalloor P O, Kollam (Muslim Minority)</t>
  </si>
  <si>
    <t>Kollam</t>
  </si>
  <si>
    <t>N.H. Bypass Road, Umayanalloor P.O., Kollam - 691589, Kerala</t>
  </si>
  <si>
    <t>98-acre campus, teaching hospital (details not fully verified)</t>
  </si>
  <si>
    <t>General/Merit quota (interim, subject to revision by State Level Fee Determination Committee), 2025-26</t>
  </si>
  <si>
    <t>Fee explicitly noted by source as interim for 2025-26, subject to change per the State Level Fee Determination Committee, Government of Kerala. Aggregator estimate placed management/NRI quota around Rs 9 lakh/yr (unverified). | shiksha.com MBBS course fee page</t>
  </si>
  <si>
    <t>Dr. Somervel Memorial CSI Hospital &amp; Medical College, Karakonam, Thiruvananthapuram (Christian Minority)</t>
  </si>
  <si>
    <t>Karakonam, Thiruvananthapuram</t>
  </si>
  <si>
    <t>Dr. S.M.C.S.I Medical College &amp; Hospital, Karakonam P.O., Thiruvananthapuram - 695504, Kerala</t>
  </si>
  <si>
    <t>+91-471-3074000</t>
  </si>
  <si>
    <t>academics@smcsimch.ac.in</t>
  </si>
  <si>
    <t>https://www.smcsimch.ac.in</t>
  </si>
  <si>
    <t>General/Merit quota - CEE Kerala counselling, 2025-26 (low confidence)</t>
  </si>
  <si>
    <t>The figure found (Rs 6,94,830 total course fee, ~Rs 9L/yr management/NRI estimate) was identical to another Kerala college's listing on the same aggregator, suggesting possible templated/duplicated data. Could not verify against an independent official source in this pass; total_seats also reported ambiguously as 100-150. | Aggregator fee page (same figure as reported for Travancore Medical College, so treat with caution)</t>
  </si>
  <si>
    <t>Sree Narayana Instt. of Medical Sciences, Chalakka, Ernakulam</t>
  </si>
  <si>
    <t>Ernakulam (Chalakka)</t>
  </si>
  <si>
    <t>Chalakka - Kuthiathode Road, North Kuthiathode, Kunnukara, Ernakulam, Kerala 683594</t>
  </si>
  <si>
    <t>Reported annual tuition range Rs 8,16,038-8,49,961/yr for merit/non-NRI quota; lower bound used. NRI quota reported at Rs 21,65,720/yr. Total course fee also cited as Rs 45.66 lakh. | Aggregated fee pages (radicaleducation.in, blog.rmgoe.org)</t>
  </si>
  <si>
    <t>SUT Sree Uthradom Thiurnal Academy of Medical Sciences, Trivandrum</t>
  </si>
  <si>
    <t>Trivandrum</t>
  </si>
  <si>
    <t>Vencode, Vattappara P.O., Trivandrum - 695028, Kerala</t>
  </si>
  <si>
    <t>+91-472-2587838</t>
  </si>
  <si>
    <t>info@sutams.edu.in</t>
  </si>
  <si>
    <t>https://sutams.edu.in</t>
  </si>
  <si>
    <t>470-bed multispecialty teaching hospital</t>
  </si>
  <si>
    <t>Only a total course fee (up to Rs 41.45 lakh) was found; divided by 5 academic years to estimate an annual figure (~Rs 8.29 lakh/yr). Not an official year-wise AFRC breakdown. Seat count also reported as 100 by some sources vs 150 by others. | edufever.com / bodmaseducation.com MBBS fee pages</t>
  </si>
  <si>
    <t>BGS MEDICAL COLLAGE AND HOSPITAL,BANGALURU (Private-University)</t>
  </si>
  <si>
    <t>BGS Health &amp; Education City, Dr. Vishnuvardhan Road, Kengeri, Bengaluru, Karnataka - 560060</t>
  </si>
  <si>
    <t>080-26984802 / 080-26984846</t>
  </si>
  <si>
    <t>principal@bgsgims.edu.in</t>
  </si>
  <si>
    <t>https://www.bgsgims.edu.in</t>
  </si>
  <si>
    <t>766+ bed attached teaching hospital</t>
  </si>
  <si>
    <t>KEA's P (Private/open) category is the seat category filled via COMEDK UGET/KEA counselling without Karnataka domicile requirement, so it is what an other-state candidate would get. This college's P-category fee (Rs 22,15,000/annum) is notably higher than most other Karnataka private colleges (typically ~Rs 12,00,117/annum). Only one consolidated P-category tuition figure is published; development/other fee breakup not separately available so both set to 0. Government (G) quota fee (domicile-restricted) is Rs 1,56,621/annum; NRI quota fee is Rs 35,15,000/annum. Listing name in source data notes '(Private-University)'. | Karnataka Examinations Authority (KEA) college-wise MBBS fee structure 2025-26, reported by Medical Dialogues - https://medicaldialogues.in/news/education/medical-admissions/karnataka-mbbs-bds-complete-fee-structure-2025-26-out-govt-mbbs-seats-at-rs-64k-private-open-at-rs-15-lakh-go-up-to-rs-45-lakh-152314</t>
  </si>
  <si>
    <t>Raipur Institute of Medical Sciences (RIMS), Raipur</t>
  </si>
  <si>
    <t>Chhattisgarh</t>
  </si>
  <si>
    <t>Raipur</t>
  </si>
  <si>
    <t>Bhansoj Road, Off NH-6, Raipur, Chhattisgarh - 492006</t>
  </si>
  <si>
    <t>cgdme@rediffmail.com</t>
  </si>
  <si>
    <t>https://rimsindia.ac.in</t>
  </si>
  <si>
    <t>State/Management quota 2025-26 (no domicile requirement, open to other-state candidates)</t>
  </si>
  <si>
    <t>Chhattisgarh DME's uniform fee policy applies the same tuition fee to State quota and Management quota seats at private colleges; management quota seats have no domicile requirement so other-state candidates pay this same fee. Only a single consolidated tuition figure (Rs 7.45 lakh/annum) is published; development/other fee breakup is not separately available so both are set to 0. NRI category fee is reported as USD 35,000 per annum (email is the state DME counselling contact, college's own email not confirmed). | Chhattisgarh DME (cgdme.in) fee structure for private medical colleges, compiled at https://www.moksh16.com/medical-colleges-in-chhattisgarh</t>
  </si>
  <si>
    <t>No caste-category fee differentiation found for State/Management quota seats in Chhattisgarh private colleges; SC/ST/OBC concessions in Chhattisgarh apply only to domicile candidates under government-college seats, not to this quota.</t>
  </si>
  <si>
    <t>Dr. B.R. Ambedkar Medical College, Bangalore</t>
  </si>
  <si>
    <t>Gandhi Nagar, Kadugondanahalli, Bengaluru, Karnataka - 560045</t>
  </si>
  <si>
    <t>080-29534888</t>
  </si>
  <si>
    <t>https://www.bramc.edu.in</t>
  </si>
  <si>
    <t>Dr Moopens Medical College ,Meppadi P.O., Wayanad</t>
  </si>
  <si>
    <t>Wayanad (Meppadi)</t>
  </si>
  <si>
    <t>Naseera Nagar, Meppadi P.O., Wayanad, Kerala - 673577</t>
  </si>
  <si>
    <t>General/Merit/Management quota - CEE Kerala counselling, 2025-26 (estimated)</t>
  </si>
  <si>
    <t>Only a total course fee of Rs 44.34 lakh was found; divided by 5.5 years (~Rs 8.06 lakh/yr) as an estimate; not an official year-wise breakdown. Hostel fee reported separately at Rs 47,000/yr. Exact seat count for MBBS not confirmed in this pass. | edufever.com / collegedunia.com MBBS fee pages</t>
  </si>
  <si>
    <t>Jaya Jagadguru Murugharajendra Medical College, Davangere</t>
  </si>
  <si>
    <t>Davanagere</t>
  </si>
  <si>
    <t>Medical College Road, MCC B Block, Kuvempu Nagar, Davanagere, Karnataka</t>
  </si>
  <si>
    <t>https://www.jjmmc.org</t>
  </si>
  <si>
    <t>25-acre campus</t>
  </si>
  <si>
    <t>KEA's P (Private/open) category is the seat category filled via COMEDK UGET/KEA counselling without Karnataka domicile requirement, so it is what an other-state candidate would get. Only one consolidated P-category tuition figure is published; development/other fee breakup not separately available so both set to 0. Government (G) quota fee (domicile-restricted) is Rs 1,53,571/annum; NRI quota fee is Rs 39,11,950/annum. | Karnataka Examinations Authority (KEA) college-wise MBBS fee structure 2025-26, reported by Medical Dialogues - https://medicaldialogues.in/news/education/medical-admissions/karnataka-mbbs-bds-complete-fee-structure-2025-26-out-govt-mbbs-seats-at-rs-64k-private-open-at-rs-15-lakh-go-up-to-rs-45-lakh-152314</t>
  </si>
  <si>
    <t>A.J.Institute of Medical Sciences &amp; Research Center, Mangalore</t>
  </si>
  <si>
    <t>Private (Linguistic Minority - Tulu)</t>
  </si>
  <si>
    <t>Mangalore</t>
  </si>
  <si>
    <t>A.J. Institute of Medical Sciences &amp; Research Centre, Kuntikana, NH-66, Mangalore - 575004, Karnataka</t>
  </si>
  <si>
    <t>0824-2223359</t>
  </si>
  <si>
    <t>https://ajims.edu.in</t>
  </si>
  <si>
    <t>MBBS, MD, MS, Diploma, DM, MCh (23 PG + 4 super-speciality courses)</t>
  </si>
  <si>
    <t>1100-bed NABH-accredited AJ Hospital &amp; Research Centre with PET-CT, MRI, Linear Accelerator; digital library (14,428+ books); 4 hostels</t>
  </si>
  <si>
    <t>Management/open (non-domicile) quota 2025-26, KEA counselling</t>
  </si>
  <si>
    <t>Government quota fee reported as Rs 1,54,321/year; NRI quota Rs 40,12,700/year. Only a single combined annual figure published for management quota, so full amount placed in tuition_fee with development/other set to 0. | mbbscouncil.com listing for A.J. Institute of Medical Sciences, Mangalore</t>
  </si>
  <si>
    <t>Karnataka private colleges charge a uniform fee across categories on management/open (COMEDK-K/KEA) quota seats; SC/ST fee concessions apply only to Karnataka-domicile government-quota seats, not to open seats available to other-state candidates.</t>
  </si>
  <si>
    <t>M.V.J.Medical College and Research Hospital, Bangalore</t>
  </si>
  <si>
    <t>Bangalore (Hoskote)</t>
  </si>
  <si>
    <t>M.V.J Medical College and Research Hospital, NH-75, Dandupalya, Kolathur Post, Hoskote, Bangalore Rural District - 562114, Karnataka</t>
  </si>
  <si>
    <t>www.mvjmc.edu.in</t>
  </si>
  <si>
    <t>MBBS, MD, MS</t>
  </si>
  <si>
    <t>950+ bed teaching hospital with ICUs, operation theatres, dialysis units, emergency ward</t>
  </si>
  <si>
    <t>Source data was inconsistent (seat and fee figures mixed with PG figures); used the recurring Karnataka private-college KEA baseline of Rs 12,00,867/year for management/open quota and Rs 1,54,321/year for government quota seen across comparable colleges (AJIMS, Akash, Shridevi, Basaveshwara) as an indicative figure — not independently confirmed for this specific college. NRI quota reported around Rs 40,12,700/year in one source. | bodmaseducation.com / mbbscouncil.com aggregated listings (data partially inconsistent between sources)</t>
  </si>
  <si>
    <t>Karnataka private colleges charge a uniform fee across categories on management/open quota seats; SC/ST fee concessions apply only to Karnataka-domicile government-quota seats.</t>
  </si>
  <si>
    <t>P K Das Institute of Medical Sciences, Palakkad, Kerala</t>
  </si>
  <si>
    <t>Palakkad (Ottapalam)</t>
  </si>
  <si>
    <t>Vaniamkulam (P.O.), Ottapalam, Palakkad, Kerala - 679522</t>
  </si>
  <si>
    <t>0466-2344500</t>
  </si>
  <si>
    <t>insurance@pkdashospital.com</t>
  </si>
  <si>
    <t>https://pkdashospital.com</t>
  </si>
  <si>
    <t>750-bed super-speciality and general hospital</t>
  </si>
  <si>
    <t>NRI quota fee reported as Rs 20,86,400/yr. Total tuition across the course cited as Rs 31,76,122 (incl. caution deposit, exam fee, other charges); breakup into development/other fee not separately available so placed fully in tuition_fee. | targetadmission.com / shiksha.com fee pages</t>
  </si>
  <si>
    <t>Karuna Medical College, Palakkad</t>
  </si>
  <si>
    <t>Palakkad (Vilayodi, Chittur)</t>
  </si>
  <si>
    <t>Vilayodi, Chittur, Palakkad District, Kerala</t>
  </si>
  <si>
    <t>650+ bed teaching hospital</t>
  </si>
  <si>
    <t>Kerala Private/Merit quota, 2025-26</t>
  </si>
  <si>
    <t>Another aggregator cited a slightly different figure (~Rs 8.27 lakh/yr); Rs 7,87,780 used as it was described specifically as the 'Kerala Private Quota' annual tuition fee. | mbbsexperts.in / neetsupport.com fee pages</t>
  </si>
  <si>
    <t>Shymanuru Shivashankarappa Institute Of Medical Sciences, Davangere</t>
  </si>
  <si>
    <t>Davangere</t>
  </si>
  <si>
    <t>S.S. Institute of Medical Sciences &amp; Research Centre, Jnanashankara, NH-4 Bypass Road, Davangere - 577005, Karnataka</t>
  </si>
  <si>
    <t>MBBS, MD, MS (25 PG departments, 61 seats), Super-speciality (4 departments, 5 seats)</t>
  </si>
  <si>
    <t>130-acre campus with attached multi-specialty teaching hospital, advanced laboratories, residential hostels</t>
  </si>
  <si>
    <t>No college-specific 2025-26 fee figure found. Used the recurring Karnataka private-college KEA baseline of Rs 12,00,867/year for management/open quota (Rs 1,54,321/year government quota) reported across comparable colleges. Treat as indicative pending confirmation from KEA/college. | Karnataka private-college KEA baseline (see note); college-specific fee not published on aggregators searched</t>
  </si>
  <si>
    <t>Mount Zion Medical College, Chayalode, Ezhamkulam Adoor, Pathanamthitta</t>
  </si>
  <si>
    <t>Adoor, Pathanamthitta</t>
  </si>
  <si>
    <t>Chayalode, Ezhamkulam, Adoor, Pathanamthitta District, Kerala</t>
  </si>
  <si>
    <t>Management quota (approx total for 5.5-year course, converted to annual estimate) - subject to Kerala Fee Regulatory Committee revision, 2025-26</t>
  </si>
  <si>
    <t>Source gave management quota fee as approx Rs 18,50,000 'for the 5.5-year MBBS programme' which is internally inconsistent with typical per-year figures for this college tier; treated cautiously as possibly an annual figure rather than course total (used as annual tuition_fee here). Government-quota fee separately reported at Rs 7,31,370/yr (not applicable to other-state candidates). Recommend independent verification. | banodoctor.com / moksh16.com fee pages</t>
  </si>
  <si>
    <t>Private self-financing college; open/management-quota fee is uniform across categories. State SC/ST fee concessions apply only to domicile government-quota seats, not to other-state candidates on this quota.</t>
  </si>
  <si>
    <t>Appolo Institute of Medical Sciences and Research, Hyderabad</t>
  </si>
  <si>
    <t>Telangana</t>
  </si>
  <si>
    <t>Hyderabad</t>
  </si>
  <si>
    <t>Apollo Health City Campus, Road No. 92, Jubilee Hills, Film Nagar, Hyderabad, Telangana - 500033</t>
  </si>
  <si>
    <t>+91-40-2328-5555</t>
  </si>
  <si>
    <t>info@apolloimsr.edu.in</t>
  </si>
  <si>
    <t>https://apolloimsr.edu.in</t>
  </si>
  <si>
    <t>Attached to Apollo Health City hospital campus</t>
  </si>
  <si>
    <t>B-Category (Management) quota - KNRUHS/Telangana counselling, 2025-26</t>
  </si>
  <si>
    <t>B Category (management) fee of Rs 13,00,000/yr used, comparable to Rs 13,20,000/yr at the sister Apollo Chittoor campus. C Category (NRI) fee separately reported at Rs 26,00,000/yr with hostel Rs 1.0-1.5 lakh/yr. Not independently verified against an official KNRUHS fee order copy in this pass. Of the 150 approved seats, the additional 50 (beyond the original 100) reportedly run on annual NMC permission rather than full recognition. | Aggregated fee pages citing KNRUHS fee notification (edufever.com, collegeandfees.com Apollo Chittoor sister-campus comparison)</t>
  </si>
  <si>
    <t>Private self-financing college; B-category (management) fee is uniform across categories for other-state candidates. Telangana domicile SC/ST/BC/EWS fee concessions apply only to A-category (convener/government) seats, not to this quota.</t>
  </si>
  <si>
    <t>Palakkad Institute of Medical Sciences, Palakkad</t>
  </si>
  <si>
    <t>Palakkad (Walayar)</t>
  </si>
  <si>
    <t>Chandrapuram, NH 544, Opposite Deer Park, Walayar, Palakkad District, Kerala - 678624</t>
  </si>
  <si>
    <t>+91-491-2863000</t>
  </si>
  <si>
    <t>info@pimshospital.com</t>
  </si>
  <si>
    <t>https://www.pimshospital.com</t>
  </si>
  <si>
    <t>Teaching hospital (newly established, details not fully verified)</t>
  </si>
  <si>
    <t>Merit/Management quota - CEE Kerala counselling, 2025-26 (provisional, inaugural batch)</t>
  </si>
  <si>
    <t>College is newly established (first batch 2024); official 2025-26 fee not yet finalized by Kerala state authorities at time of research, so figure quoted (Rs 11,13,870/yr merit; Rs 23,80,790/yr NRI) is provisional per aggregator sources. | Aggregator MBBS fee pages (acembbs.com, mbbscouncil.com)</t>
  </si>
  <si>
    <t>Akash Institute of Medical Sciences &amp; Research centre, Banglore</t>
  </si>
  <si>
    <t>Private (Minority)</t>
  </si>
  <si>
    <t>Bangalore (Devanahalli)</t>
  </si>
  <si>
    <t>Akash Institute of Medical Sciences &amp; Research Centre, Prasannahalli Road, Devanahalli, Near Kempegowda International Airport, Bengaluru Rural - 562110, Karnataka</t>
  </si>
  <si>
    <t>080-71159900</t>
  </si>
  <si>
    <t>https://aimsrc.com</t>
  </si>
  <si>
    <t>MBBS, MD, MS (14 PG programs)</t>
  </si>
  <si>
    <t>Teaching hospital with RHTC and UHTC affiliated centres, digital library (40 computer nodes), departmental museums, separate boys/girls hostels</t>
  </si>
  <si>
    <t>Government quota fee reported as Rs 1,54,321/year; NRI quota Rs 36,12,700/year. Only a single combined figure published for management quota, so full amount placed in tuition_fee. | mbbscouncil.com listing for Akash Institute of Medical Sciences and Research Centre, Devanahalli, Bangalore</t>
  </si>
  <si>
    <t>The Oxford Medical College, Hospital &amp; Research Centre, Bangalore,(Linguistic Telugu )</t>
  </si>
  <si>
    <t>Private (Linguistic Minority - Telugu)</t>
  </si>
  <si>
    <t>Bangalore (Anekal)</t>
  </si>
  <si>
    <t>The Oxford Medical College, Hospital &amp; Research Centre, Yadavanahalli, Attibele Hobli, Anekal Taluk, Bangalore - 562107, Karnataka</t>
  </si>
  <si>
    <t>30-35 acre campus, skill lab and simulation centre, residential accommodation</t>
  </si>
  <si>
    <t>No college-specific 2025-26 fee figure found. Used the recurring Karnataka private-college KEA baseline of Rs 12,00,867/year for management/open quota (Rs 1,54,321/year government quota). Treat as indicative. | Karnataka private-college KEA baseline (see note); college-specific fee not published on aggregators searched</t>
  </si>
  <si>
    <t>Al-Azhar Medical College and Super Speciality Hospital, Thodupuzha (Muslim Minority)</t>
  </si>
  <si>
    <t>Thodupuzha, Idukki</t>
  </si>
  <si>
    <t>Al-Azhar Medical College and Super Speciality Hospital, Thodupuzha, Idukki District, Kerala</t>
  </si>
  <si>
    <t>7620130439</t>
  </si>
  <si>
    <t>Super-speciality teaching hospital (details not fully verified)</t>
  </si>
  <si>
    <t>Interim Management quota fee, pending final FRC (Fee Regulatory Committee) approval, 2025-26</t>
  </si>
  <si>
    <t>Interim tuition fee explicitly noted as subject to final FRC approval. NRI quota interim fee reported as Rs 21,65,720/yr. Total course fee also cited as Rs 40.8 lakh. | blog.rmgoe.org / acembbs.com fee pages</t>
  </si>
  <si>
    <t>Shri Balaji Institute of Medical Science, Raipur</t>
  </si>
  <si>
    <t>Dubey Colony, Mowa, Raipur, Chhattisgarh - 492014</t>
  </si>
  <si>
    <t>Chhattisgarh DME's uniform fee policy applies the same tuition fee to State quota and Management quota seats at private colleges; management quota seats have no domicile requirement so other-state candidates pay this same fee. Only a single consolidated tuition figure (Rs 8.02 lakh/annum) is published; development/other fee breakup is not separately available so both are set to 0. NRI category fee is reported as USD 35,000 per annum. Total seats figure (150) is from a different source than the fee table (which listed 250); could not independently confirm which is current. | Chhattisgarh DME (cgdme.in) fee structure for private medical colleges, compiled at https://www.moksh16.com/medical-colleges-in-chhattisgarh</t>
  </si>
  <si>
    <t>Mahadevappa Rampure Medical College, Gulbarga</t>
  </si>
  <si>
    <t>Private Trust (semi-government, HKE Society)</t>
  </si>
  <si>
    <t>Gulbarga (Kalaburagi)</t>
  </si>
  <si>
    <t>Mahadevappa Rampure Medical College, Sedam Road, Mahadevappa Marg, Kalaburagi (Gulbarga) - 585105, Karnataka</t>
  </si>
  <si>
    <t>08472-220307 / 225085</t>
  </si>
  <si>
    <t>mrmcglb@gmail.com</t>
  </si>
  <si>
    <t>http://mrmc.hkes.edu.in/</t>
  </si>
  <si>
    <t>HKE Society-run teaching hospital</t>
  </si>
  <si>
    <t>College-specific 2025-26 fee not found; being a semi-government trust college its management/open quota fee may differ from the fully-private baseline used here (Rs 12,00,867/year). Flagged as uncertain - verify with HKES/KEA before use. Seat approval reported as being increased from 150 to 250; used the confirmed 150 figure. | Karnataka private-college KEA baseline (see note); college is described as semi-government (HKE Society) so actual fee for other-state candidates may differ</t>
  </si>
  <si>
    <t>Assumed uniform fee across categories for management/open seats per Karnataka norm; not separately confirmed for this trust-run college.</t>
  </si>
  <si>
    <t>East Point College of Medical Sciences and Research Center, Bangalore</t>
  </si>
  <si>
    <t>Bangalore (Bidarahalli)</t>
  </si>
  <si>
    <t>East Point College of Medical Sciences and Research Centre, Virgo Nagar, Avalahalli, Bidarahalli, Bangalore - 560049, Karnataka</t>
  </si>
  <si>
    <t>100-acre campus with attached teaching hospital</t>
  </si>
  <si>
    <t>Conflicting figures found: one source cited ~Rs 9,19,000/year (year/quota unclear), while the common Karnataka private-college KEA baseline is Rs 12,00,867/year for management/open quota. Used the baseline as the more consistently corroborated figure; treat as indicative pending confirmation. | Karnataka private-college KEA baseline (see note); one aggregator listed Rs 9.19 lakh which could not be corroborated</t>
  </si>
  <si>
    <t>SIDDAGANGA MEDICAL COLLEGE AND RESEARCH INSTITUTE,,TUMAKURU</t>
  </si>
  <si>
    <t>Tumakuru</t>
  </si>
  <si>
    <t>Siddaganga Medical College and Research Institute, Dr. Sree Shivakumaraswamiji Road, Bengaluru-Honnavar Road, Tumakuru - 572102, Karnataka</t>
  </si>
  <si>
    <t>https://smcri.edu.in/</t>
  </si>
  <si>
    <t>Attached teaching hospital (details limited - newly established college)</t>
  </si>
  <si>
    <t>No college-specific 2025-26 fee figure found (college started 2022-23, only 2 MBBS batches so far). Used the recurring Karnataka private-college KEA baseline of Rs 12,00,867/year for management/open quota. Treat as indicative. | Karnataka private-college KEA baseline (see note); college-specific fee not published on aggregators searched</t>
  </si>
  <si>
    <t>Deccan College of Medical Sciences, Hyderabad</t>
  </si>
  <si>
    <t>DMRL X Road, Santosh Nagar, Kanchan Bagh, Hyderabad, Telangana 500058</t>
  </si>
  <si>
    <t>040-24340169</t>
  </si>
  <si>
    <t>www.deccancollegeofmedicalsciences.com</t>
  </si>
  <si>
    <t>MBBS, MD, MS, Diploma</t>
  </si>
  <si>
    <t>Attached teaching hospital, library, laboratories, hostel</t>
  </si>
  <si>
    <t>Management quota (Category B) 2025-26</t>
  </si>
  <si>
    <t>Only a single flat annual management-quota (Category B) fee is published; tuition/development/other not itemised so full amount placed in tuition_fee. Govt quota (Category A) is about Rs 60,000/yr (domicile only); NRI quota (Category C) is typically about double the management fee, not separately confirmed for this college. | meducate.in Telangana MBBS fee compilation of KNRUHS fee notification https://meducate.in/telangana-mbbs-fees/</t>
  </si>
  <si>
    <t>Private colleges in Telangana charge one flat fee to all categories on management/Category-B seats; SC/ST fee concessions apply only to domicile government-quota (Category A) seats and would not apply to an other-state candidate.</t>
  </si>
  <si>
    <t>S. Nijalingappa Medical College and Research Centre, Bagalkot</t>
  </si>
  <si>
    <t>Bagalkot</t>
  </si>
  <si>
    <t>S. Nijalingappa Medical College &amp; HSK Hospital and Research Centre, Navanagar, Bagalkot - 587102, Karnataka</t>
  </si>
  <si>
    <t>08354-235360 / 200219</t>
  </si>
  <si>
    <t>MBBS, MD, MS (96 PG seats across 20 departments)</t>
  </si>
  <si>
    <t>HSK Hospital and Research Centre (attached teaching hospital)</t>
  </si>
  <si>
    <t>No college-specific 2025-26 fee figure found. Used the recurring Karnataka private-college KEA baseline of Rs 12,00,867/year for management/open quota. Treat as indicative. | Karnataka private-college KEA baseline (see note); college-specific fee not published on aggregators searched</t>
  </si>
  <si>
    <t>Mamata Academy of Medical Sciences, Bachupally</t>
  </si>
  <si>
    <t>Bachupally, Hyderabad</t>
  </si>
  <si>
    <t>Bollaram Industrial Area, Bachupally, Hyderabad, Telangana 500090</t>
  </si>
  <si>
    <t>mams.org.in</t>
  </si>
  <si>
    <t>Attached hospital, hostel, library, laboratories</t>
  </si>
  <si>
    <t>Only a single flat annual management-quota fee is published; full amount placed in tuition_fee. Govt quota ~Rs 60,000/yr (domicile only); NRI quota typically about double, not separately confirmed. | meducate.in Telangana MBBS fee compilation of KNRUHS fee notification https://meducate.in/telangana-mbbs-fees/</t>
  </si>
  <si>
    <t>Same fee charged to all categories on management/Category-B seats; SC/ST concessions apply only to domicile government-quota seats.</t>
  </si>
  <si>
    <t>Kamineni Academy of Medical Sciences &amp; Research Centre, Hyderabad.</t>
  </si>
  <si>
    <t>L B Nagar, Hyderabad</t>
  </si>
  <si>
    <t>LB Nagar, Hyderabad, Telangana 500068</t>
  </si>
  <si>
    <t>+91 94902 94919</t>
  </si>
  <si>
    <t>info@kamsrc.com</t>
  </si>
  <si>
    <t>kamsrc.com</t>
  </si>
  <si>
    <t>MBBS, MD, MS, BDS, B.Sc Nursing, Paramedical, Biotechnology</t>
  </si>
  <si>
    <t>Only a single flat annual management-quota fee is published; full amount placed in tuition_fee. Govt quota ~Rs 60,000/yr; NRI quota typically about double, not separately confirmed. | meducate.in Telangana MBBS fee compilation of KNRUHS fee notification https://meducate.in/telangana-mbbs-fees/</t>
  </si>
  <si>
    <t>Bhaskar Medical College, Yenkapally,Hyderabad</t>
  </si>
  <si>
    <t>Yenkapally, Moinabad, Rangareddy</t>
  </si>
  <si>
    <t>Survey No. 156-162, Amdapur X Road, Yenkapally, Moinabad, Ranga Reddy, Telangana 500075</t>
  </si>
  <si>
    <t>www.bhaskarmedicalcollege.edu.in</t>
  </si>
  <si>
    <t>Basaveshwara Medical College and Hospital, Chitradurga</t>
  </si>
  <si>
    <t>Chitradurga</t>
  </si>
  <si>
    <t>Basaveshwara Medical College and Hospital, S.J.M Campus, NH-4(48) Bypass Road, Chitradurga - 577502, Karnataka</t>
  </si>
  <si>
    <t>MBBS, MD, MS (10+ PG specialisations)</t>
  </si>
  <si>
    <t>Attached teaching hospital</t>
  </si>
  <si>
    <t>Management quota 2025-26, KEA counselling</t>
  </si>
  <si>
    <t>Only a single combined management-quota annual fee figure (Rs 12,00,867) was found; no tuition/development/other split published, so full amount placed in tuition_fee. | mbbscouncil.com listing for Sri Basaveshwara Medical College, Chitradurga</t>
  </si>
  <si>
    <t>Shadan Institute of Medical Sciences, Research Centre &amp;Teaching Hospital, Peerancheru, Hyderabad</t>
  </si>
  <si>
    <t>Peerancheru, Hyderabad</t>
  </si>
  <si>
    <t>Peerancheru, Himayath Sagar Road, Hyderabad, Telangana 500008</t>
  </si>
  <si>
    <t>040-20021035</t>
  </si>
  <si>
    <t>www.shadan.in</t>
  </si>
  <si>
    <t>Management/minority quota (Category B) 2025-26</t>
  </si>
  <si>
    <t>Same fee charged to all categories on management/minority-quota seats; SC/ST concessions apply only to domicile government-quota seats.</t>
  </si>
  <si>
    <t>Navodaya Medical College, Raichur</t>
  </si>
  <si>
    <t>Raichur</t>
  </si>
  <si>
    <t>Navodaya Medical College, Navodaya Nagar, Mantralayam Road, Raichur - 584103, Karnataka</t>
  </si>
  <si>
    <t>S R PATIL MEDICAL COLLEGE HOSPITAL AND RESEARCH CENTER,BADAGANDI,BAGALKOT</t>
  </si>
  <si>
    <t>S R Patil Medical College, Hospital and Research Centre, NH-218, Hubli-Vijayapura Road, Badagandi, TQ Bilagi, Bagalkot - 587116, Karnataka</t>
  </si>
  <si>
    <t>https://srpmchrc.edu.in/</t>
  </si>
  <si>
    <t>20.03-acre campus, attached 630-bed hospital</t>
  </si>
  <si>
    <t>Management/open (non-domicile) quota, latest available (college newly established 2024)</t>
  </si>
  <si>
    <t>Only a combined annual figure (Rs 6,91,070) found; no tuition/development/other split published, so placed entirely in tuition_fee. College is very new (2024) - fee may not yet reflect a full FRC-approved cycle; verify with KEA before relying on this figure. | edufever.com listing for S R Patil Medical College, Bagalkot</t>
  </si>
  <si>
    <t>Subbaiah Institute of Medical Science, shimoga</t>
  </si>
  <si>
    <t>Shivamogga (Shimoga)</t>
  </si>
  <si>
    <t>Subbaiah Institute of Medical Sciences, NH-13, Purle, Shivamogga - 577222, Karnataka</t>
  </si>
  <si>
    <t>https://subbaiah.org/</t>
  </si>
  <si>
    <t>32-acre campus with hostel facility, attached teaching hospital</t>
  </si>
  <si>
    <t>College-specific 2025-26 figure not confirmed from the sources retrieved; used the recurring Karnataka private-college KEA baseline of Rs 12,00,867/year for management/open quota. Treat as indicative; the college's own fee-structure page should be checked for the authoritative figure. | Karnataka private-college KEA baseline (see note); college publishes its own fee structure page (subbaiah.org/admission/fee-Structure) which could not be parsed for exact 2025-26 figures</t>
  </si>
  <si>
    <t>SRI CHAMUNDESHWARI MEDICAL COLLEGE, HOSPITAL AND RESEARCH INST,,CHANNAPATNA, RAMANAGARA</t>
  </si>
  <si>
    <t>Channapatna, Ramanagara</t>
  </si>
  <si>
    <t>Sri Chamundeshwari Medical College, Hospital &amp; Research Institute, 29/1,2&amp;3 Dabanagunda Village, Channapatna Taluk, Ramanagara District - 562160, Karnataka</t>
  </si>
  <si>
    <t>https://college.scmch.org/</t>
  </si>
  <si>
    <t>Attached teaching hospital on Bengaluru-Mysuru Highway; founded and managed by Sri Ranga Educational Trust</t>
  </si>
  <si>
    <t>College is very new (2023) with limited published data; no college-specific fee figure found. Used the recurring Karnataka private-college KEA baseline of Rs 12,00,867/year for management/open quota. Treat as indicative. | Karnataka private-college KEA baseline (see note); college-specific fee not published on aggregators searched</t>
  </si>
  <si>
    <t>M.S.Ramaiah Medical College, Bangalore (Private-University)</t>
  </si>
  <si>
    <t>Deemed University (Private)</t>
  </si>
  <si>
    <t>Bangalore</t>
  </si>
  <si>
    <t>M.S. Ramaiah Medical College, MSRIT Post, MSR Nagar, Bangalore - 560054, Karnataka</t>
  </si>
  <si>
    <t>MBBS, MD, MS, DM, MCh</t>
  </si>
  <si>
    <t>Large multi-specialty teaching hospital attached to Ramaiah Memorial Hospital</t>
  </si>
  <si>
    <t>Private/management quota (state-counselling 85% share) 2025-26</t>
  </si>
  <si>
    <t>Reported figures vary by source: Rs 26,00,000/year (management/private quota, 2025-26 cited) up to Rs 45,00,000/year (some sources list this as the management figure, others as NRI/Others). NRI/Others quota reported at Rs 45,00,000/year. Since MSRMC is now a constituent college of Ramaiah University of Applied Sciences (deemed-university status from 2022-23), fees are higher than standard private colleges. Only a combined annual figure available; no tuition/development/other split found. | hellomentor.in / findurcollege.com aggregated listings for MS Ramaiah Medical College</t>
  </si>
  <si>
    <t>No category-wise fee difference found for the management/private quota; deemed university management-quota fees are typically uniform across categories, with SC/ST concessions (if any) restricted to a small state-quota allocation not typically available to other-state candidates.</t>
  </si>
  <si>
    <t>Abhishek I Mishra Memorial Medical College &amp; Research, Bhiali, Durg</t>
  </si>
  <si>
    <t>Bhilai (Durg)</t>
  </si>
  <si>
    <t>Junwani Road, Bhilai, Durg, Chhattisgarh - 490020</t>
  </si>
  <si>
    <t>https://aimmmcr.com</t>
  </si>
  <si>
    <t>Newly established college; sanctioned intake reported as 100 (85 State/Management quota + 15 NRI). Chhattisgarh DME's uniform fee policy applies the same tuition fee to State quota and Management quota seats; only a single consolidated tuition figure (Rs 7.45 lakh/annum) is published, so development/other fees set to 0. NRI category fee is reported as USD 35,000 per annum. | Chhattisgarh DME (cgdme.in) fee structure for private medical colleges, compiled at https://www.moksh16.com/medical-colleges-in-chhattisgarh</t>
  </si>
  <si>
    <t>SVS Medical College, Mehaboobnagar</t>
  </si>
  <si>
    <t>Mahabubnagar</t>
  </si>
  <si>
    <t>House No. 25/10, Main Road, Yenugonda, Mahabubnagar, Telangana 509001</t>
  </si>
  <si>
    <t>+91 8542 227902</t>
  </si>
  <si>
    <t>svsmc_mbnr@yahoo.co.in</t>
  </si>
  <si>
    <t>Shridevi Institute of Medical Sciences &amp; Research Hospital, Tumkur</t>
  </si>
  <si>
    <t>Tumkur</t>
  </si>
  <si>
    <t>Shridevi Institute of Medical Sciences &amp; Research Hospital, Sira Road, NH-4, Lingapura, Tumakuru - 572106, Karnataka</t>
  </si>
  <si>
    <t>08162-212193</t>
  </si>
  <si>
    <t>https://www.shridevimedical.org</t>
  </si>
  <si>
    <t>MBBS, MD, MS (21 PG programs incl. Biochemistry, Pharmacology, Emergency Medicine, Ophthalmology)</t>
  </si>
  <si>
    <t>750-bed multi-specialty teaching hospital (18 departments plus dental), MRI, CT, ultrasound, X-ray</t>
  </si>
  <si>
    <t>Government quota fee reported as Rs 1,54,321/year; NRI quota Rs 38,62,700/year. Only a single combined figure published for management quota, so full amount placed in tuition_fee. | mbbscouncil.com listing for Shridevi Institute of Medical Sciences and Research Hospital, Tumkur</t>
  </si>
  <si>
    <t>Kanachur Institute of Medical Sciences and Research Centre, Mangalore</t>
  </si>
  <si>
    <t>Kanachur Institute of Medical Sciences and Research Centre, Natekal, Mangalore-Thokkottu-Konaje Road, Mangalore, Karnataka</t>
  </si>
  <si>
    <t>https://kanachurims.com/</t>
  </si>
  <si>
    <t>500-bed Kanachur Hospital and Research Centre</t>
  </si>
  <si>
    <t>Management/open (non-domicile) quota, latest reported</t>
  </si>
  <si>
    <t>Source reported a fee range of Rs 6,91,070 (likely government quota) to Rs 37,91,778 (likely management/NRI quota) without clearly separating quotas; used the higher figure as the management/open-quota estimate. Verify with KEA fee order before use - this is less certain than other Karnataka entries. | moksh16.com listing for Kanachur Institute of Medical Sciences, Mangalore</t>
  </si>
  <si>
    <t>Mamata Medical College, Khammam</t>
  </si>
  <si>
    <t>Khammam</t>
  </si>
  <si>
    <t>Giriprasad Nagar, Rotary Nagar, Khammam, Telangana 507002</t>
  </si>
  <si>
    <t>08742-295719</t>
  </si>
  <si>
    <t>infomamata@yahoo.co.in</t>
  </si>
  <si>
    <t>www.mamatamedicalcollege.com</t>
  </si>
  <si>
    <t>Mediciti Institute of Medical Sciences, Ghanpur,Hyderabad</t>
  </si>
  <si>
    <t>Ghanpur, Medchal</t>
  </si>
  <si>
    <t>Medchal Mandal, Ghanpur, Telangana 501401</t>
  </si>
  <si>
    <t>mims.edu.in</t>
  </si>
  <si>
    <t>720-bed Mediciti General Hospital (attached), hostel, library, laboratories</t>
  </si>
  <si>
    <t>Management quota 2025-26</t>
  </si>
  <si>
    <t>Fee is a single flat annual amount; full amount placed in tuition_fee. Government quota (domicile) is Rs 60,000/yr; NRI quota is Rs 23,10,000/yr. | College fee webpages aggregating KNRUHS notification (edufever/collegeandfees) - Government quota Rs 60,000, Management Rs 11,55,000, NRI Rs 23,10,000 for MIMS Ghanpur</t>
  </si>
  <si>
    <t>Same fee charged to all categories on management-quota seats; SC/ST concessions apply only to domicile government-quota seats.</t>
  </si>
  <si>
    <t>Maheswara Medical College, Chitkul, Patancheru, Medak</t>
  </si>
  <si>
    <t>Chitkul, Patancheru, Sangareddy</t>
  </si>
  <si>
    <t>Maheshwara Medical College &amp; Hospital, Chitkul (V), Isnapur X Road, Patancheru, Sangareddy District, Telangana 502307</t>
  </si>
  <si>
    <t>www.maheshwaramedical.com</t>
  </si>
  <si>
    <t>1000+ bed attached teaching hospital, hostel, library, laboratories</t>
  </si>
  <si>
    <t>K.Venkataramana Gowda Medical College and Hospital, Mangalore</t>
  </si>
  <si>
    <t>Sullia, Mangalore</t>
  </si>
  <si>
    <t>K.V.G. Medical College and Hospital, Court Road, Kurunjibhag, Sullia, Dakshina Kannada - 574327, Karnataka</t>
  </si>
  <si>
    <t>MBBS, MD, MS (17 PG specialities, 60 seats)</t>
  </si>
  <si>
    <t>1000-bed teaching hospital</t>
  </si>
  <si>
    <t>Prathima Institute of Medical Sciences, Karimnagar</t>
  </si>
  <si>
    <t>Karimnagar</t>
  </si>
  <si>
    <t>NH-7, Nagunur, Karimnagar, Telangana 505417</t>
  </si>
  <si>
    <t>0878-2216380</t>
  </si>
  <si>
    <t>pims_07@yahoo.co.in</t>
  </si>
  <si>
    <t>www.prathimaeducation.org</t>
  </si>
  <si>
    <t>RVM Institute of Medical sciences and Research Centre, Medak</t>
  </si>
  <si>
    <t>Laxmakkapally, Mulugu Mandal, Siddipet</t>
  </si>
  <si>
    <t>H.No. 2-51/1, Laxmakkapally Village, Mulugu Mandal, Siddipet District, Telangana 502279</t>
  </si>
  <si>
    <t>www.rvmims.org</t>
  </si>
  <si>
    <t>Only a single flat annual management-quota fee is published; full amount placed in tuition_fee. Govt quota ~Rs 60,000/yr; NRI quota typically about double, not separately confirmed. One source cites 350 as a combined all-programme intake figure; MBBS annual intake is 150. | meducate.in Telangana MBBS fee compilation of KNRUHS fee notification https://meducate.in/telangana-mbbs-fees/</t>
  </si>
  <si>
    <t>Shri Rawatpura Sarkar Institute of Medical Sciences and Research, Nava Raipur</t>
  </si>
  <si>
    <t>Nava Raipur</t>
  </si>
  <si>
    <t>Village Pacheda, Post Kurru, Tehsil Abhanpur, Nava Raipur (Atal Nagar), Raipur District, Chhattisgarh - 493661</t>
  </si>
  <si>
    <t>+91-9109988506</t>
  </si>
  <si>
    <t>info@srimsr.com</t>
  </si>
  <si>
    <t>https://srimsr.com</t>
  </si>
  <si>
    <t>Attached 400+ bed multi-specialty hospital</t>
  </si>
  <si>
    <t>Chhattisgarh DME's uniform fee policy applies the same tuition fee to State quota and Management quota seats at private colleges; management quota seats have no domicile requirement so other-state candidates pay this same fee. Only a single consolidated tuition figure (Rs 7.45 lakh/annum) is published; development/other fee breakup is not separately available so both are set to 0. NRI category fee is reported as USD 35,000 per annum. | Chhattisgarh DME (cgdme.in) fee structure for private medical colleges, compiled at https://www.moksh16.com/medical-colleges-in-chhattisgarh</t>
  </si>
  <si>
    <t>Mahavir Institute Of Medical Sciences, Vikarabad, Telengana</t>
  </si>
  <si>
    <t>Vikarabad</t>
  </si>
  <si>
    <t>Shivareddypet, Vikarabad, Telangana 501101</t>
  </si>
  <si>
    <t>K.D. Medical College Hospital &amp; Research Centre, Mathura</t>
  </si>
  <si>
    <t>Uttar Pradesh</t>
  </si>
  <si>
    <t>Mathura</t>
  </si>
  <si>
    <t>24 KM Milestone, Mathura-Delhi Road, NH-2, P.O. Akbarpur, Tehsil Chhata, Mathura, Uttar Pradesh</t>
  </si>
  <si>
    <t>7055400400</t>
  </si>
  <si>
    <t>kdmchrc@gmail.com</t>
  </si>
  <si>
    <t>www.kdmch.in</t>
  </si>
  <si>
    <t>650-bed attached tertiary care hospital, hostel, library, laboratories, 37.35-acre campus</t>
  </si>
  <si>
    <t>Only an approximate flat annual management-quota figure (~Rs 12,00,000) could be confirmed via secondary sources, not the official PDF itself; full amount placed in tuition_fee. Affiliated to Dr B R Ambedkar University, Agra. | WebSearch aggregation of edufever.com / college fee pages citing KD Medical College official fee PDF (kdmch.in/downloads/MBBS-Fee-Structure-2025.pdf)</t>
  </si>
  <si>
    <t>Private management-quota fee is charged uniformly to all categories; state SC/ST fee concessions apply only to UP-domicile government/state-quota seats, not to an other-state candidate on a management seat.</t>
  </si>
  <si>
    <t>Sri Madhusudan Sai Institute of Medical Sciences and Research, Chikballapur (Private-University)</t>
  </si>
  <si>
    <t>Deemed University (Private Trust)</t>
  </si>
  <si>
    <t>Muddenahalli, Chikkaballapur</t>
  </si>
  <si>
    <t>Sri Madhusudan Sai Institute of Medical Sciences and Research, Muddenahalli, Chikkaballapur, Karnataka</t>
  </si>
  <si>
    <t>https://smsimsr.org/</t>
  </si>
  <si>
    <t>Attached teaching hospital run by Sri Sathya Sai University of Health Education</t>
  </si>
  <si>
    <t>Private (Payment) quota 2025-26</t>
  </si>
  <si>
    <t>This is an unusual free-education model: per the college's own 2025-26 seat matrix/fee/admission regulation, 40% of seats (Government quota) and 40% of seats (Private/Payment quota) are offered at ZERO tuition and zero hostel fee; only the remaining 15% NRI-quota seats carry a university-notified fee (amount not specified in sources found). Since an other-state candidate through state counselling would typically get a Private (Payment) seat, tuition_fee is set to 0 per the official policy; verify current-year NRI fee separately if relevant. | medicaldialogues.in / smsimsr.org Seat-Matrix-Fee-and-Admission-Regulation-2025-26.pdf</t>
  </si>
  <si>
    <t>College policy makes Government and Private/Payment quota seats free for all categories; no category-wise fee difference applies since both are zero-fee.</t>
  </si>
  <si>
    <t>Kamineni Institute of Medical Sciences, Narketpally.</t>
  </si>
  <si>
    <t>Narketpally, Nalgonda</t>
  </si>
  <si>
    <t>Sreepuram, Narketpally, Nalgonda District, Telangana 508254</t>
  </si>
  <si>
    <t>www.kimsmedicalcollege.org</t>
  </si>
  <si>
    <t>Only a single flat annual management-quota fee is published; full amount placed in tuition_fee. Govt quota ~Rs 60,000/yr; NRI quota typically about double, not separately confirmed. Seat count of 200 reported by one source; other listings cite 150 - unresolved discrepancy. | meducate.in Telangana MBBS fee compilation of KNRUHS fee notification https://meducate.in/telangana-mbbs-fees/</t>
  </si>
  <si>
    <t>SDM College of Medical Sciences and Hospital, Dharwad (Private-University)</t>
  </si>
  <si>
    <t>Dharwad</t>
  </si>
  <si>
    <t>SDM College of Medical Sciences and Hospital, Sattur, Dharwad, Karnataka</t>
  </si>
  <si>
    <t>Attached SDM teaching hospital</t>
  </si>
  <si>
    <t>Other/Management (Q) quota 2025-26</t>
  </si>
  <si>
    <t>Quota-wise fees reported: Govt (G) Rs 1,56,621; Private/State (P) Rs 20,15,000; Other/Management (Q) Rs 35,15,000; NRI (N) Rs 35,15,000 (one source listed Rs 36,15,000 for management). Used the Other/Management quota figure as the seat category an other-state candidate through state counselling would typically receive. Only a combined annual figure found; no tuition/development/other split published. | careeredwise.com fee breakdown for SDM College of Medical Sciences, Dharwad</t>
  </si>
  <si>
    <t>No category-wise (SC/ST/OBC) difference found for the Other/Management quota; such concessions typically apply only to Karnataka-domicile government-quota seats.</t>
  </si>
  <si>
    <t>Nova inst. Hayathnagar</t>
  </si>
  <si>
    <t>Jafferguda, Hayathnagar</t>
  </si>
  <si>
    <t>Jafferguda, Hayathnagar Mandal, Telangana 501512</t>
  </si>
  <si>
    <t>nimsrc.com</t>
  </si>
  <si>
    <t>Keshava Rao-Nova General Hospital (390-bed) attached, hostel, library, laboratories</t>
  </si>
  <si>
    <t>Only a single flat annual management-quota fee is published; full amount placed in tuition_fee. Govt quota ~Rs 60,000/yr; NRI quota typically about double, not separately confirmed. Establishment year and exact seat count (150 vs 250 reported in different sources) could not be reliably confirmed. | meducate.in Telangana MBBS fee compilation of KNRUHS fee notification https://meducate.in/telangana-mbbs-fees/</t>
  </si>
  <si>
    <t>Khaja Bande Navaz Institute Of Medical Sciences, Gulbarga (Private-University)</t>
  </si>
  <si>
    <t>Kalaburagi (Gulbarga)</t>
  </si>
  <si>
    <t>Khaja Banda Nawaz Institute of Medical Sciences (KBNU - Faculty of Medical Sciences), Khaja Colony, Roza-e-Buzurg, Kalaburagi, Karnataka</t>
  </si>
  <si>
    <t>Attached teaching hospital run by Khaja Bandanawaz Educational Society/University</t>
  </si>
  <si>
    <t>Management quota 2025-26 (deemed university, state-counselling share)</t>
  </si>
  <si>
    <t>Reported figures: general/private quota fee ~Rs 16,00,000/year, management quota ~Rs 26,00,000/year; total 5-year course fee reported as ~Rs 81.52 lakh. Became part of Khaja Bandanawaz University (deemed) in 2018, raising fees above typical affiliated-college levels. Only combined figures found; no tuition/development/other split published. | edufever.com / careeredwise.com aggregated listings for KBNIMS Gulbarga</t>
  </si>
  <si>
    <t>No category-wise fee difference found for the management quota; deemed-university management fees are typically uniform across categories.</t>
  </si>
  <si>
    <t>Pratima relif Warngal</t>
  </si>
  <si>
    <t>Hanamkonda, Warangal</t>
  </si>
  <si>
    <t>H.No. 51-3-630, Sahasra Nagar, Mulugu Road, Hanamkonda, Telangana 506007</t>
  </si>
  <si>
    <t>www.primswarangal.com</t>
  </si>
  <si>
    <t>Only a single flat annual management-quota fee is published; full amount placed in tuition_fee. Govt quota ~Rs 60,000/yr; NRI quota typically about double, not separately confirmed. Sources disagree on founding year (2001 group founding vs 2022 medical college approval); 2022 used here for the medical college. | meducate.in Telangana MBBS fee compilation of KNRUHS fee notification https://meducate.in/telangana-mbbs-fees/</t>
  </si>
  <si>
    <t>TRR INSTITUTE OF MEDICAL SCIENCES, INOLE, PATANCHERU</t>
  </si>
  <si>
    <t>Inole, Patancheru, Sangareddy</t>
  </si>
  <si>
    <t>TRR Nagar, Inole (Village), Patancheru (Mandal), Sangareddy District, Telangana 502319</t>
  </si>
  <si>
    <t>trrims.in</t>
  </si>
  <si>
    <t>Attached hospital, hostel, library, laboratories, 100-acre campus</t>
  </si>
  <si>
    <t>Surabhi Institute of Medical Sciences, Siddipet, Telangana</t>
  </si>
  <si>
    <t>Siddipet</t>
  </si>
  <si>
    <t>Siddipet-Husnabad Road, Mundrai/Mittapally, Siddipet, Telangana 502375</t>
  </si>
  <si>
    <t>Attached hospital, hostel, library, laboratories, 25+ acre campus</t>
  </si>
  <si>
    <t>FATHER COLOMBO INSTITUTE OF MEDICAL SCIENCES, WARANGAL</t>
  </si>
  <si>
    <t>Warangal</t>
  </si>
  <si>
    <t>B.R. Nagar, Hunter Road, Sri Nagar Colony, Warangal, Telangana 506001</t>
  </si>
  <si>
    <t>870-2420426</t>
  </si>
  <si>
    <t>fcimswgl@gmail.com</t>
  </si>
  <si>
    <t>fcimswgl.in</t>
  </si>
  <si>
    <t>Only a single flat annual management-quota fee is published; full amount placed in tuition_fee. Govt quota ~Rs 60,000/yr; NRI quota typically about double, not separately confirmed. College is run by the Warangal (Catholic) Diocese. | meducate.in Telangana MBBS fee compilation of KNRUHS fee notification https://meducate.in/telangana-mbbs-fees/</t>
  </si>
  <si>
    <t>United Inst. Of Medical Science, Prayagraj</t>
  </si>
  <si>
    <t>Prayagraj</t>
  </si>
  <si>
    <t>Rawatpur/Bamrauli, Prayagraj, Uttar Pradesh 211012</t>
  </si>
  <si>
    <t>+91 98863 77748</t>
  </si>
  <si>
    <t>principal@unitedmedicity.com</t>
  </si>
  <si>
    <t>www.unitedmedicity.com</t>
  </si>
  <si>
    <t>800+ bed attached teaching hospital, hostel, library, laboratories</t>
  </si>
  <si>
    <t>Published figure of Rs 11,90,401/yr is a single flat management-quota tuition amount; full amount placed in tuition_fee. One-time refundable security deposit of Rs 3,00,000 is additional and excluded. | WebSearch aggregation of college fee pages (unitedmedicity.com, edufever.com) citing UP DGME fee notification</t>
  </si>
  <si>
    <t>Hind Institute of Medical Sciences, Barabanki</t>
  </si>
  <si>
    <t>Barabanki</t>
  </si>
  <si>
    <t>Palhari, Barel, Safedabad, Barabanki, Uttar Pradesh 225001</t>
  </si>
  <si>
    <t>www.himsup.com</t>
  </si>
  <si>
    <t>Rs 16,85,681/yr is the published 2025-26 management-quota figure, a single flat tuition amount; full amount placed in tuition_fee. | UP DGME MBBS fee notice via Hind Institute of Medical Sciences official notice (himsup.com/wp-content/uploads/2025/07/MBBS-Fee-Notice.pdf), aggregated via WebSearch</t>
  </si>
  <si>
    <t>Hind Institute of Medical Sciences, Sitapur</t>
  </si>
  <si>
    <t>Sitapur</t>
  </si>
  <si>
    <t>Hind Hospital, Sitapur Road, Ataria, Sitapur, Uttar Pradesh 261303</t>
  </si>
  <si>
    <t>+91 7068062600</t>
  </si>
  <si>
    <t>amodsanchan@gmail.com</t>
  </si>
  <si>
    <t>www.himssitapur.org</t>
  </si>
  <si>
    <t>Management/NRI quota 2025-26</t>
  </si>
  <si>
    <t>Sources give management/NRI annual fee as approximately Rs 13,00,000/yr; a total-course figure of about Rs 48,47,531 was also cited (implies ~Rs 10.8 lakh/yr over 4.5 years) - the per-year management figure of Rs 13,00,000 is used here and should be verified against the current DGME notice. | WebSearch aggregation of college fee pages citing UP DGME fee notification for Hind Institute of Medical Sciences, Sitapur</t>
  </si>
  <si>
    <t>PES UNIVERSITY INSTITUTE OF MEDICAL SCIENCES AND RESEARCH,ELECTRONIC CITY,BANGALORE (Private-University)</t>
  </si>
  <si>
    <t>Private (part of PES University)</t>
  </si>
  <si>
    <t>Bangalore (Electronic City)</t>
  </si>
  <si>
    <t>PES University Institute of Medical Sciences and Research, Electronic City Campus, Bengaluru, Karnataka</t>
  </si>
  <si>
    <t>http://pesuimsr.pes.edu/</t>
  </si>
  <si>
    <t>Newly established college (2024); part of PES University's Electronic City campus infrastructure</t>
  </si>
  <si>
    <t>Quota-wise fees reported: Government Rs 1,57,371/year; Management Rs 22,15,750/year; NRI Rs 33,15,750/year. Only a combined annual figure published for management quota; no tuition/development/other split available. | gcsonline.co.in / mbbscouncil.com listing for PES University Institute of Medical Sciences and Research, Bangalore</t>
  </si>
  <si>
    <t>No category-wise fee difference found for the management quota; SC/ST fee concessions apply only to Karnataka-domicile government-quota seats.</t>
  </si>
  <si>
    <t>Heritage Institute of Medical Sciences, Varanasi</t>
  </si>
  <si>
    <t>Varanasi</t>
  </si>
  <si>
    <t>NH-2 (G.T. Road Bypass), Bhadwar, Mohansarai, Varanasi, Uttar Pradesh 221311</t>
  </si>
  <si>
    <t>07408702222</t>
  </si>
  <si>
    <t>principal@heritageims.com</t>
  </si>
  <si>
    <t>heritageims.com</t>
  </si>
  <si>
    <t>Attached teaching hospital, hostel, library, laboratories</t>
  </si>
  <si>
    <t>Rs 13,21,492/yr is the DGME-approved 2025-26 management-quota tuition figure, a single flat amount; full amount placed in tuition_fee. Non-AC hostel Rs 1.5L/yr, AC hostel Rs 1.9-1.92L/yr, and one-time caution deposit Rs 3L are additional and excluded. Seat count reported as 150-250 across sources; 150 used as the commonly cited approved intake, unconfirmed. | UP DGME 2025 fee update aggregated via WebSearch (edufever.com, heritageims.com/fee-structure/)</t>
  </si>
  <si>
    <t>Saraswati Institute of Medical Sciences, Hapur</t>
  </si>
  <si>
    <t>Hapur</t>
  </si>
  <si>
    <t>NH-9 (old NH-24), Anwarpur, Pilkhuwa Post, Hapur, Uttar Pradesh 245304</t>
  </si>
  <si>
    <t>dgmededu@gmail.com</t>
  </si>
  <si>
    <t>www.sims.edu.in</t>
  </si>
  <si>
    <t>Attached hospital, hostel, library, laboratories, 26-acre campus</t>
  </si>
  <si>
    <t>Rs 11,81,671/yr is the published 2025-26 management-quota tuition figure, a single flat amount; full amount placed in tuition_fee. Total course cost cited around Rs 67-68 lakh including hostel/other charges. Seat count reported as 150-250 across sources; unconfirmed exact figure, affiliated to Atal Bihari Vajpayee Medical University. | UP DGME fee notification aggregated via WebSearch (edufever.com, sims.edu.in)</t>
  </si>
  <si>
    <t>School of Medical Sciences &amp; Research ( Sharda University),Greater Noida</t>
  </si>
  <si>
    <t>Greater Noida</t>
  </si>
  <si>
    <t>Sharda University, Plot No. 32-34, Knowledge Park III, Greater Noida, Uttar Pradesh 201306</t>
  </si>
  <si>
    <t>0120-4060210</t>
  </si>
  <si>
    <t>https://smsr.sharda.ac.in/</t>
  </si>
  <si>
    <t>Attached Sharda Hospital, hostel, library, laboratories</t>
  </si>
  <si>
    <t>Rs 15,23,183/yr tuition plus Rs 94,160/yr miscellaneous fee per the 2025 DGME-approved revision (up from Rs 12,69,319 the prior year); hostel Rs 1.73L (non-AC) to Rs 2.02L (AC)/yr is additional and excluded. Fee is provisional, subject to the UP Fee Fixation Committee. | UP DGME 2025 fee update aggregated via WebSearch (smsr.sharda.ac.in/course-fee-structure)</t>
  </si>
  <si>
    <t>Shri Gorakshnath Medical College, Hospital and Research Centre</t>
  </si>
  <si>
    <t>Gorakhpur</t>
  </si>
  <si>
    <t>Arogya Dham, Balapar Road, Sonbarsa, Gorakhpur, Uttar Pradesh</t>
  </si>
  <si>
    <t>9415266014</t>
  </si>
  <si>
    <t>principal.sgmc@mgug.ac.in</t>
  </si>
  <si>
    <t>sgmchrc.in</t>
  </si>
  <si>
    <t>Management/open quota 2025-26</t>
  </si>
  <si>
    <t>Approximate management-quota figure of ~Rs 14,00,000/yr cited by secondary sources; the official DGME 2025-26 notified figure could not be independently confirmed. College is run by a private trust (Gorakhnath Peeth/Mahayogi Gorakhnath University); seats filled 15% All India Quota / 85% State Quota per NEET-UG merit through UPDGME. | WebSearch aggregation of college/counselling fee pages for Shri Gorakshnath Medical College Hospital &amp; Research Centre, Gorakhpur</t>
  </si>
  <si>
    <t>Chalmeda Anand Rao Institute of Medical Science, Karimnagar.</t>
  </si>
  <si>
    <t>Bommakal, Karimnagar</t>
  </si>
  <si>
    <t>Bommakal, Peddapalli Road, Karimnagar, Telangana 505001</t>
  </si>
  <si>
    <t>www.caims.in</t>
  </si>
  <si>
    <t>1000-bed attached teaching hospital, hostel, library, laboratories</t>
  </si>
  <si>
    <t>MNR Medical College &amp; Hospital, Sangareddy</t>
  </si>
  <si>
    <t>Sangareddy</t>
  </si>
  <si>
    <t>MNR Nagar, Fasalwadi, Narsapur Road, Sangareddy, Telangana 502294</t>
  </si>
  <si>
    <t>08455-230527</t>
  </si>
  <si>
    <t>mnrmch.mnrindia.org</t>
  </si>
  <si>
    <t>DR. CHANDRAMMA DAYANANDA SAGAR INSTITUTE OF MEDICAL EDUCATION &amp; RESEARCH,HAROHALLI.(Private-University)</t>
  </si>
  <si>
    <t>Harohalli</t>
  </si>
  <si>
    <t>Dr. Chandramma Dayananda Sagar Institute of Medical Education &amp; Research, Harohalli, Kanakapura Road, Ramanagara District, Karnataka</t>
  </si>
  <si>
    <t>1800-425-9900 (general enquiry) / 6366885501 (admissions)</t>
  </si>
  <si>
    <t>https://cdsimer.edu.in/</t>
  </si>
  <si>
    <t>Affiliated with Dayananda Sagar University; attached teaching hospital</t>
  </si>
  <si>
    <t>Private/Management quota 2025-26 (deemed university, state-counselling share)</t>
  </si>
  <si>
    <t>Quota-wise fees reported: Government Rs 1,44,246/year; Private/Management Rs 20,15,500/year; NRI Rs 32,15,500/year (year of these figures not explicitly confirmed as 2025-26 in the source but treated as current). Only combined annual figures found; no tuition/development/other split published. | careeredwise.com / schoolmykids.com aggregated listings for CDSIMER, Harohalli</t>
  </si>
  <si>
    <t>No category-wise fee difference found for the private/management quota; SC/ST fee concessions apply only to Karnataka-domicile government-quota seats.</t>
  </si>
  <si>
    <t>Rama Medical College Hospital &amp; Research Centre, Hapur</t>
  </si>
  <si>
    <t>Rama City, NH-9 (Delhi-Meerut Expressway), Near Mother Dairy, Pilkhuwa, Hapur - 245304, Uttar Pradesh</t>
  </si>
  <si>
    <t>https://www.ramamedicalcolleges.com/</t>
  </si>
  <si>
    <t>Attached teaching hospital (1000+ beds), central research station, hostel (NMC-mandated)</t>
  </si>
  <si>
    <t>Management/state-quota (non-domicile) seat - UP DGME notified annual fee 2025-26</t>
  </si>
  <si>
    <t>DGME publishes one consolidated annual tuition figure (no tuition/development/other break-up); hostel &amp; security deposit excluded. 2026-27 revised order lists Rs 14,92,600/yr (admittanceedutech.in) - not used here as 2025-26 was requested. | UP DGME MBBS fee notification 2025-26, compiled at https://bookmymedicalcollege.com/uttar-pradesh-mbbs-fees/</t>
  </si>
  <si>
    <t>UP DGME notifies a single uniform annual tuition fee for all categories on management/state-quota seats; no category-wise (SC/ST/OBC/EWS) fee differential found for non-domicile candidates - such concessions apply only to UP-domicile government-quota seats.</t>
  </si>
  <si>
    <t>Adichunchanagiri Institute of Medical Sciences, Mandya (Private-University)</t>
  </si>
  <si>
    <t>Bellur (Balagangadharanatha Nagara), Mandya</t>
  </si>
  <si>
    <t>Adichunchanagiri Institute of Medical Sciences, Balagangadharanatha Nagara (B G Nagara), Nagamangala Taluk, Mandya District, Karnataka</t>
  </si>
  <si>
    <t>MBBS, MS (approx. 51 PG seats)</t>
  </si>
  <si>
    <t>Affiliated with Adichunchanagiri University (ACU); attached teaching hospital</t>
  </si>
  <si>
    <t>Management quota 2025-26 (deemed university; 30 of 150 MBBS seats, i.e. 20%, are Management quota - the category open to other-state candidates)</t>
  </si>
  <si>
    <t>Source gave a wide, inconsistent range (total course fee reported anywhere from ~Rs 2.91 lakh to Rs 60 lakh for related programs, likely mixing MBBS/MD/other courses); could not isolate a precise, reliable annual management-quota MBBS figure. Rs 20,00,000/year used as an approximate placeholder based on typical deemed-university management fees in Karnataka; treat with low confidence and verify with the university/KEA before use. | collegedunia.com fee page for Adichunchanagiri Institute of Medical Sciences, Mandya</t>
  </si>
  <si>
    <t>No category-wise fee difference confirmed; assumed uniform across categories for the management quota per general Karnataka private/deemed college practice.</t>
  </si>
  <si>
    <t>NEELIMA INSTITUTE OF MEDICAL SCIENCES, GHATKESAR</t>
  </si>
  <si>
    <t>Ghatkesar, Medchal-Malkajgiri</t>
  </si>
  <si>
    <t>Neelima Institute of Medical Sciences, Ghatkesar, Medchal-Malkajgiri District, Telangana 501301</t>
  </si>
  <si>
    <t>www.neelimamed.com</t>
  </si>
  <si>
    <t>Fee is a single flat annual amount; full amount placed in tuition_fee. NRI quota is Rs 23,10,000/yr; govt quota ~Rs 60,000/yr (domicile only). | WebSearch aggregated result citing management-quota Rs 11,55,000/yr and NRI Rs 23,10,000/yr for NIMS Ghatkesar</t>
  </si>
  <si>
    <t>Subharti Medical College, Meerut</t>
  </si>
  <si>
    <t>Private (Deemed University)</t>
  </si>
  <si>
    <t>Meerut</t>
  </si>
  <si>
    <t>Subharti Puram, NH-58, Delhi-Haridwar Bypass Road, Meerut, Uttar Pradesh 250005</t>
  </si>
  <si>
    <t>https://medical.subharti.org/</t>
  </si>
  <si>
    <t>Multi-specialty teaching hospital (~1250 beds), hostel (NMC-mandated)</t>
  </si>
  <si>
    <t>Single consolidated annual tuition figure published by DGME; hostel/mess and security deposit excluded. | UP DGME MBBS fee notification 2025-26, compiled at https://bookmymedicalcollege.com/uttar-pradesh-mbbs-fees/</t>
  </si>
  <si>
    <t>UP DGME notifies one uniform fee for all categories on management/state-quota seats for non-domicile candidates; no category-wise differential found.</t>
  </si>
  <si>
    <t>Rama Medical College &amp; Hospital , Kanpur</t>
  </si>
  <si>
    <t>Kanpur</t>
  </si>
  <si>
    <t>Rama City, G.T. Road, Near Mandhana Railway Station, Mandhana, Kanpur - 209217</t>
  </si>
  <si>
    <t>7892792526</t>
  </si>
  <si>
    <t>https://www.ramamedicalcolleges.com/kanpur/KanpurM.aspx</t>
  </si>
  <si>
    <t>Attached teaching hospital, hostel (NMC-mandated)</t>
  </si>
  <si>
    <t>Muzaffarnagar Medical College, Muzaffarnagar</t>
  </si>
  <si>
    <t>Muzaffarnagar</t>
  </si>
  <si>
    <t>Opp. Begrajpur Industrial Area, 115 KM Stone, Delhi-Dehradun Road, Muzaffarnagar, Uttar Pradesh 251203</t>
  </si>
  <si>
    <t>mmcollege1@gmail.com</t>
  </si>
  <si>
    <t>https://mmcollege.org/</t>
  </si>
  <si>
    <t>Attached hospital (1050 teaching + 107 non-teaching beds), hostel (NMC-mandated)</t>
  </si>
  <si>
    <t>Single consolidated annual tuition figure published by DGME; hostel/mess and security deposit excluded. Managed by Fateh Chand Charitable Trust, affiliated to Atal Bihari Vajpayee Medical University, Meerut. | UP DGME MBBS fee notification 2025-26, compiled at https://bookmymedicalcollege.com/uttar-pradesh-mbbs-fees/</t>
  </si>
  <si>
    <t>Mayo Institute of Medical Sciences, Barabanki</t>
  </si>
  <si>
    <t>Faizabad Road, Gadia, Dharsania, Barabanki, Uttar Pradesh 225001</t>
  </si>
  <si>
    <t>Single consolidated annual tuition figure published by DGME; hostel/mess and security deposit excluded. Run by Bodhisatva Charitable Trust; also referred to as Dr KNS Memorial Institute of Medical Sciences. | UP DGME MBBS fee notification 2025-26, compiled at https://bookmymedicalcollege.com/uttar-pradesh-mbbs-fees/</t>
  </si>
  <si>
    <t>National Capital Reagon Int. Of Medical Sci.,Meerut (MSY Medical College)</t>
  </si>
  <si>
    <t>21 KM, NH-334, Meerut-Hapur Road, Nalpur Village, Meerut - 245206, Uttar Pradesh</t>
  </si>
  <si>
    <t>https://ncrinstituteofmedicalsciences.com/</t>
  </si>
  <si>
    <t>Single consolidated annual tuition figure published by DGME; hostel/mess and security deposit excluded. Formerly known as MSY Medical College; run by KSD Charitable Trust; affiliated to Atal Bihari Vajpayee Medical University. | UP DGME MBBS fee notification 2025-26, compiled at https://bookmymedicalcollege.com/uttar-pradesh-mbbs-fees/</t>
  </si>
  <si>
    <t>G.S Medical College, Hapur</t>
  </si>
  <si>
    <t>NH 24, Village Peeplabandpur, Near Railway Station, Pilkhuwa, Hapur, Uttar Pradesh 245304</t>
  </si>
  <si>
    <t>Attached teaching hospital (450-650+ beds reported), hostel (NMC-mandated)</t>
  </si>
  <si>
    <t>Single consolidated annual tuition figure published by DGME; hostel/mess and security deposit excluded. Affiliated to Atal Bihari Vajpayee Medical University, Lucknow. | UP DGME MBBS fee notification 2025-26, compiled at https://bookmymedicalcollege.com/uttar-pradesh-mbbs-fees/</t>
  </si>
  <si>
    <t>Prasad Institute of Medical Sciences, Lucknow</t>
  </si>
  <si>
    <t>Lucknow</t>
  </si>
  <si>
    <t>Sarai Shahzadi, Banthara, Kanpur Road, Lucknow, Uttar Pradesh 226401</t>
  </si>
  <si>
    <t>https://pimslko.edu.in/</t>
  </si>
  <si>
    <t>NABH-accredited attached hospital (1200 beds), 110-acre campus, hostel (NMC-mandated)</t>
  </si>
  <si>
    <t>Single consolidated annual tuition figure published by DGME; hostel/mess and security deposit excluded. Affiliated to Dr Ram Manohar Lohia Avadh University. | UP DGME MBBS fee notification 2025-26, compiled at https://bookmymedicalcollege.com/uttar-pradesh-mbbs-fees/</t>
  </si>
  <si>
    <t>S.K.S. HOSPITAL MATHURA</t>
  </si>
  <si>
    <t>SKS Hospital, NH-2, 21st Mile Stone, Village Chaumuhan, Tehsil Chhata, Mathura - 281406, Uttar Pradesh</t>
  </si>
  <si>
    <t>Attached multi-specialty teaching hospital (350 beds), hostel (NMC-mandated)</t>
  </si>
  <si>
    <t>Single consolidated annual tuition figure published by DGME; hostel/mess and security deposit excluded. Affiliated to Atal Bihari Vajpayee Medical University; MBBS intake reported as 100-150 in different sources. | UP DGME MBBS fee notification 2025-26, compiled at https://bookmymedicalcollege.com/uttar-pradesh-mbbs-fees/ (listed as 'SKS Medical College, Mathura')</t>
  </si>
  <si>
    <t>Sri Venkteshwara Inst.Of Medical Sci. Amroha</t>
  </si>
  <si>
    <t>Amroha</t>
  </si>
  <si>
    <t>National Highway-24, Rajabpur, Gajraula, District Amroha - 244236, Uttar Pradesh</t>
  </si>
  <si>
    <t>https://vimshospital.edu.in/</t>
  </si>
  <si>
    <t>Single consolidated annual tuition figure published by DGME; hostel/mess and security deposit excluded. Run by Shri Bankey Bihari Educational &amp; Welfare Trust, affiliated to Shri Venkateshwara University. Established year reported as 2014 or 2016 in different sources. | UP DGME MBBS fee notification 2025-26, compiled at https://bookmymedicalcollege.com/uttar-pradesh-mbbs-fees/</t>
  </si>
  <si>
    <t>Ajay Sangaal Institute Of Medical Sciences &amp; Research</t>
  </si>
  <si>
    <t>Shamli</t>
  </si>
  <si>
    <t>Village Rajjak Nagar, Shamli-Karnal Road, Shamli, Uttar Pradesh</t>
  </si>
  <si>
    <t>http://asimsr.com/</t>
  </si>
  <si>
    <t>Attached Ayushman Hospital, 50-acre campus, hostel (NMC-mandated)</t>
  </si>
  <si>
    <t>Single consolidated annual tuition figure published by DGME; hostel/mess and security deposit excluded. Affiliated to Atal Bihari Vajpayee Medical University. | UP DGME MBBS fee notification 2025-26, compiled at https://bookmymedicalcollege.com/uttar-pradesh-mbbs-fees/ (listed as 'Ajay Sanghal Institute of Medical Sciences &amp; Research &amp; Ayushmaan Hospital, Shamli')</t>
  </si>
  <si>
    <t>Narayana Medical College, Kanpur</t>
  </si>
  <si>
    <t>Naraina Vidyapeeth, Gangaganj, Panki, Kanpur, Uttar Pradesh - 208020</t>
  </si>
  <si>
    <t>+91-9918601154</t>
  </si>
  <si>
    <t>https://nmcrc.in/</t>
  </si>
  <si>
    <t>Input list names this college 'Narayana Medical College, Kanpur'; official/common name found is 'Naraina Medical College &amp; Research Centre, Kanpur' - treated as the same institution. Single consolidated annual tuition figure published by DGME; hostel/mess and security deposit excluded. Affiliated to Atal Bihari Vajpayee Medical University Lucknow. | UP DGME MBBS fee notification 2025-26, compiled at https://bookmymedicalcollege.com/uttar-pradesh-mbbs-fees/ (listed as 'Naraina Medical College &amp; Hospital, Kanpur')</t>
  </si>
  <si>
    <t>Krishna Mohan Medical College &amp; Hospital, Mathura</t>
  </si>
  <si>
    <t>Pali Dungra, Sonkh Road, Mathura, Uttar Pradesh</t>
  </si>
  <si>
    <t>https://www.kmmedicalcollege.in/</t>
  </si>
  <si>
    <t>Attached teaching hospital (1050 beds, ICU/SICU/PICU/NICU, 24-hr ambulance), hostel (NMC-mandated)</t>
  </si>
  <si>
    <t>Single consolidated annual tuition figure published by DGME; hostel/mess and security deposit excluded. Affiliated to Dr B.R. Ambedkar University, Agra. | UP DGME MBBS fee notification 2025-26, compiled at https://bookmymedicalcollege.com/uttar-pradesh-mbbs-fees/</t>
  </si>
  <si>
    <t>Saraswati Medical College, Unnao</t>
  </si>
  <si>
    <t>Unnao</t>
  </si>
  <si>
    <t>LIDA, Madhu Vihar, P.O. Asha Khera, NH-27, Lucknow-Kanpur Highway, Unnao, Uttar Pradesh - 209859</t>
  </si>
  <si>
    <t>https://saraswatimedical.ac.in/</t>
  </si>
  <si>
    <t>Attached Saraswati Hospital &amp; Research Centre (~950-1000 beds), hostel (NMC-mandated)</t>
  </si>
  <si>
    <t>Shri Shankaracharya Institute of Medical Sciences, Bhilai</t>
  </si>
  <si>
    <t>+91 7884088866</t>
  </si>
  <si>
    <t>ssimsb@ssimsb.ac.in</t>
  </si>
  <si>
    <t>https://ssimsb.ac.in</t>
  </si>
  <si>
    <t>Attached 746-bed hospital</t>
  </si>
  <si>
    <t>Chhattisgarh DME's uniform fee policy applies the same tuition fee to State quota and Management quota seats at private colleges; management quota seats have no domicile requirement so other-state candidates pay this same fee. Only a single consolidated tuition figure (Rs 7.99 lakh/annum) is published; development/other fee breakup is not separately available so both are set to 0. NRI category fee is reported as USD 35,000 per annum. One source listed total seats as 250 vs 150 elsewhere; 150 used as the more specific/recent figure. | Chhattisgarh DME (cgdme.in) fee structure for private medical colleges, compiled at https://www.moksh16.com/medical-colleges-in-chhattisgarh</t>
  </si>
  <si>
    <t>Dr BS Kushwah Institute of Medical Sciences</t>
  </si>
  <si>
    <t>A/1-8, Lakhanpur, Grand Trunk Road, Kanpur, Uttar Pradesh - 208024</t>
  </si>
  <si>
    <t>+91-7310301413</t>
  </si>
  <si>
    <t>https://bskims.com/</t>
  </si>
  <si>
    <t>20-acre campus, attached teaching hospital, hostel (NMC-mandated)</t>
  </si>
  <si>
    <t>Single consolidated annual tuition figure published by DGME; hostel/mess and security deposit excluded. Established by Rama Education Society, affiliated to Atal Bihari Vajpayee Medical University. | UP DGME MBBS fee notification 2025-26, compiled at https://bookmymedicalcollege.com/uttar-pradesh-mbbs-fees/</t>
  </si>
  <si>
    <t>Noida INternational Inst. Of Med. Sci,Gautam Budh Nagar</t>
  </si>
  <si>
    <t>Gautam Buddha Nagar</t>
  </si>
  <si>
    <t>Plot No. 1, Sector 17A, Opp. Formula 1 Track, Yamuna Expressway, Gautam Budh Nagar, Uttar Pradesh - 203201</t>
  </si>
  <si>
    <t>Single consolidated annual tuition figure published by DGME; hostel/mess and security deposit excluded. Affiliated to Noida International University; also offers 68 MD/MS seats. | UP DGME MBBS fee notification 2025-26, compiled at https://bookmymedicalcollege.com/uttar-pradesh-mbbs-fees/</t>
  </si>
  <si>
    <t>Shri RamMurti Smarak Institute of Medical Sciences, Bareilly</t>
  </si>
  <si>
    <t>Bareilly</t>
  </si>
  <si>
    <t>13.2 KM Milestone, Bareilly-Nainital Road, Bhojipura, Bareilly, Uttar Pradesh</t>
  </si>
  <si>
    <t>https://srms.ac.in/ims/</t>
  </si>
  <si>
    <t>1000-bed centrally air-conditioned multi-super-speciality tertiary/trauma teaching hospital, hostel (NMC-mandated)</t>
  </si>
  <si>
    <t>Single consolidated annual tuition figure published by DGME; hostel/mess and security deposit excluded. Affiliated to Atal Bihari Vajpayee Medical University. | UP DGME MBBS fee notification 2025-26, compiled at https://bookmymedicalcollege.com/uttar-pradesh-mbbs-fees/</t>
  </si>
  <si>
    <t>Sapthagiri Institute of Medical Sciences, Bangalore (Private-University)</t>
  </si>
  <si>
    <t>Sapthagiri Institute of Medical Sciences and Research Centre, No. 15, Chikkasandra, Hesaraghatta Main Road, Bangalore - 560090, Karnataka</t>
  </si>
  <si>
    <t>080-22188700 / 701 / 702 / 703</t>
  </si>
  <si>
    <t>MBBS, MD, MS, DM, B.Sc</t>
  </si>
  <si>
    <t>NABH-accredited attached teaching hospital</t>
  </si>
  <si>
    <t>Varunarjun Medical College, Sahjahanpur</t>
  </si>
  <si>
    <t>Shahjahanpur</t>
  </si>
  <si>
    <t>NH-30, Banthra, District Shahjahanpur, Uttar Pradesh - 242307</t>
  </si>
  <si>
    <t>9557259598</t>
  </si>
  <si>
    <t>Attached Rohilkhand Hospital (1050 beds, multi-speciality), hostel (NMC-mandated)</t>
  </si>
  <si>
    <t>Single consolidated annual tuition figure published by DGME; hostel/mess and security deposit excluded. Affiliated to Mahatma Jyotiba Phule Rohilkhand University. MBBS intake reported as either 150 or 250 across sources. | UP DGME MBBS fee notification 2025-26, compiled at https://bookmymedicalcollege.com/uttar-pradesh-mbbs-fees/ (listed as 'Varunarjun Medical College &amp; Rohilkhand Hospital, Shahjahanpur')</t>
  </si>
  <si>
    <t>KMC Medical College &amp; Hospital Maharajganj</t>
  </si>
  <si>
    <t>Maharajganj</t>
  </si>
  <si>
    <t>Farenda Road, Maharajganj, Uttar Pradesh - 273303</t>
  </si>
  <si>
    <t>https://kmcmedicalcollege.com/</t>
  </si>
  <si>
    <t>Attached teaching hospital (665-1200 beds reported), PPP model with Shanti Foundation, hostel (NMC-mandated)</t>
  </si>
  <si>
    <t>Single consolidated annual tuition figure published by DGME; hostel/mess and security deposit excluded. Public-Private-Partnership model medical college maintained by Gorakhpur-based Shanti Foundation. | UP DGME MBBS fee notification 2025-26, compiled at https://bookmymedicalcollege.com/uttar-pradesh-mbbs-fees/</t>
  </si>
  <si>
    <t>BGS Global Institute of Medical Sciences, Bangalore</t>
  </si>
  <si>
    <t>Bangalore (Kengeri)</t>
  </si>
  <si>
    <t>BGS Global Institute of Medical Sciences, No. 67, BGS Health &amp; Education City, Uttarahalli Road, Kengeri, Bengaluru - 560060, Karnataka</t>
  </si>
  <si>
    <t>Part of BGS Health &amp; Education City campus with attached teaching hospital</t>
  </si>
  <si>
    <t>Private/management quota 2025-26, KEA counselling</t>
  </si>
  <si>
    <t>Government (CET) quota fee reported as Rs 1,29,000/year; Private/management quota Rs 10,93,000/year. This is notably lower than most other Karnataka private colleges reviewed (which cluster around Rs 12,00,867/year); could not cross-verify with a second source, so treat with some caution. | collegedunia.com listing for BGS Global Institute of Medical Sciences, Bangalore</t>
  </si>
  <si>
    <t>Rohilkhand Medical College &amp; Hospital, Bareilly</t>
  </si>
  <si>
    <t>Pilibhit Bypass Road, Bareilly, Uttar Pradesh - 243006</t>
  </si>
  <si>
    <t>https://www.rmcbareilly.com/</t>
  </si>
  <si>
    <t>Attached tertiary-care teaching hospital (720-1200+ beds reported, incl. 120 ICU beds), hostel (NMC-mandated)</t>
  </si>
  <si>
    <t>Single consolidated annual tuition figure published by DGME; hostel/mess and security deposit excluded. Affiliated to Bareilly International University. | UP DGME MBBS fee notification 2025-26, compiled at https://bookmymedicalcollege.com/uttar-pradesh-mbbs-fees/</t>
  </si>
  <si>
    <t>Geetanjali Medical College &amp; Hospital,Udaipur</t>
  </si>
  <si>
    <t>Rajasthan</t>
  </si>
  <si>
    <t>Udaipur</t>
  </si>
  <si>
    <t>Manwa Kheda Road, Manwa Kheda, Eklingpura, Udaipur, Rajasthan - 313001</t>
  </si>
  <si>
    <t>MBBS, MD, MS, Super Specialty (DM/MCh)</t>
  </si>
  <si>
    <t>1150-bed hospital, 35-acre campus</t>
  </si>
  <si>
    <t>Management quota, 2025-26 (via Rajasthan NEET UG counselling)</t>
  </si>
  <si>
    <t>Single management-quota tuition figure found (~Rs 30 lakh/yr); no separate development/other fee breakup located so full amount placed in tuition_fee. Not cross-checked against an official RUHS/college notice in this pass. | Careers360 Rajasthan MBBS fee report 2025-26</t>
  </si>
  <si>
    <t>Private self-financing college; management-quota fee is uniform across categories for other-state candidates. Rajasthan domicile SC/ST fee concessions apply only to state-quota government seats, not to this quota.</t>
  </si>
  <si>
    <t>Era Lucknow Medical College, Lucknow(Muslim Minority)</t>
  </si>
  <si>
    <t>Sarfarazganj, Hardoi Road, Lucknow, Uttar Pradesh - 226003</t>
  </si>
  <si>
    <t>0091-522-4153777</t>
  </si>
  <si>
    <t>Attached teaching hospital (750-1020 beds reported), hostel available</t>
  </si>
  <si>
    <t>Non-minority/open management quota (non-domicile) seat - state-approved fee 2025-26</t>
  </si>
  <si>
    <t>Only a single consolidated annual tuition figure of Rs 16.60 lakh was published (no tuition/development/other break-up); hostel fee reported separately as Rs 1,50,000/yr (triple, non-AC) and is excluded from the tuition figure above. Also has 110 PG seats across 22 disciplines. | Careers360, 'UP NEET UG 2025: MBBS, BDS tuition, hostel fees for minority private medical, dental colleges announced' - https://news.careers360.com/up-neet-ug-2025-mbbs-bds-tuition-hostel-fees-for-minority-private-medical-dental-colleges-announced-counselling-fee-structure</t>
  </si>
  <si>
    <t>As a Muslim-minority institution its published fee notice does not show a caste-based (SC/ST/OBC/EWS) fee split for management/non-domicile seats; the only differential reported is minority-community vs open seat, not caste category.</t>
  </si>
  <si>
    <t>Srinivasa Institute of Medical Research Center, Mangalore</t>
  </si>
  <si>
    <t>Mangalore (Surathkal)</t>
  </si>
  <si>
    <t>Srinivas Institute of Medical Sciences and Research Centre, Srinivas Nagar, Mukka, Surathkal, Mangalore - 575021, Karnataka</t>
  </si>
  <si>
    <t>https://www.srinivasgroup.com/Srinivas-Institute-of-Medical-Sciences-and-Research-Center.html</t>
  </si>
  <si>
    <t>25-acre campus, attached teaching hospital, ~12 km from Mangalore Central Railway Station</t>
  </si>
  <si>
    <t>Only a total-course fee was published: approx. Rs 55,00,000 for the full 5-year MBBS course. Divided by 5 years to give an approximate annual figure of Rs 11,00,000/year, placed in tuition_fee (development/other set to 0). Not confirmed against an official KEA quota-wise fee order for this specific college. | justgetadmission.com aggregated listing for Srinivasa Institute of Medical Sciences, Mangalore</t>
  </si>
  <si>
    <t>T.S Mishra Medical College &amp; Hospital, Lucknow</t>
  </si>
  <si>
    <t>Amausi, Lucknow, Uttar Pradesh (25+ acre campus)</t>
  </si>
  <si>
    <t>https://tsm.edu.in/</t>
  </si>
  <si>
    <t>Attached tertiary-care hospital (365-410 beds reported), hostel (NMC-mandated)</t>
  </si>
  <si>
    <t>Rajshree Medical Research Institute, Barielly</t>
  </si>
  <si>
    <t>Bareilly, Uttar Pradesh (21.32-acre campus)</t>
  </si>
  <si>
    <t>https://rajshreemri.in/</t>
  </si>
  <si>
    <t>Rajshree Hospital (1050+ bedded, centrally air-conditioned multi-specialty tertiary/trauma centre), hostel (NMC-mandated)</t>
  </si>
  <si>
    <t>Single consolidated annual tuition figure published by DGME; hostel/mess and security deposit excluded. MBBS intake increased from 150 to 250 from 2023-24 session; also runs 45 PG seats across 13 disciplines. | UP DGME MBBS fee notification 2025-26, compiled at https://bookmymedicalcollege.com/uttar-pradesh-mbbs-fees/</t>
  </si>
  <si>
    <t>Integral Institute of Medical Sciences &amp; Research, Lucknow(Muslim Minority)</t>
  </si>
  <si>
    <t>Kursi Road, Lucknow, Uttar Pradesh - 226026</t>
  </si>
  <si>
    <t>https://www.iul.ac.in/IIMSR/default.aspx</t>
  </si>
  <si>
    <t>Attached teaching hospital (800+ beds), hostel available</t>
  </si>
  <si>
    <t>Only a single consolidated annual tuition figure of Rs 18,00,000 was published (no tuition/development/other break-up); hostel reported separately as Rs 1,60,000/yr (AC double) plus Rs 1,00,000 mess, excluded from the tuition figure above. Also runs 23 PG seats across 7 disciplines. | Careers360, 'UP NEET UG 2025: MBBS, BDS tuition, hostel fees for minority private medical, dental colleges announced' - https://news.careers360.com/up-neet-ug-2025-mbbs-bds-tuition-hostel-fees-for-minority-private-medical-dental-colleges-announced-counselling-fee-structure</t>
  </si>
  <si>
    <t>As a Muslim-minority institution its published fee notice does not show a caste-based (SC/ST/OBC/EWS) fee split for management/non-domicile seats; only a minority-community vs open-seat differential is reported.</t>
  </si>
  <si>
    <t>F.H. Medical College &amp; Hospital, Firozabad, Agra(Muslim Minority)</t>
  </si>
  <si>
    <t>Firozabad</t>
  </si>
  <si>
    <t>Near Etmadpur, Railway Over Bridge, NH-2, Tundla, Firozabad, Uttar Pradesh - 283201</t>
  </si>
  <si>
    <t>Attached teaching hospital (750+ beds), hostel available</t>
  </si>
  <si>
    <t>Only a single consolidated annual tuition figure of Rs 17,95,000 was published (no tuition/development/other break-up); hostel reported separately as Rs 2,50,000 (non-AC double) or Rs 3,00,000 (AC double), excluded from the tuition figure above. Established by the RB Group; affiliated to Dr B.R. Ambedkar University, Agra. | Careers360, 'UP NEET UG 2025: MBBS, BDS tuition, hostel fees for minority private medical, dental colleges announced' - https://news.careers360.com/up-neet-ug-2025-mbbs-bds-tuition-hostel-fees-for-minority-private-medical-dental-colleges-announced-counselling-fee-structure</t>
  </si>
  <si>
    <t>Jaipur National University Institute of Medical Sciences and Resarch Centre, Jagatpura, Jaipur</t>
  </si>
  <si>
    <t>Private (Deemed/Private University)</t>
  </si>
  <si>
    <t>Jaipur</t>
  </si>
  <si>
    <t>Jaipur-Agra Bypass, Near New RTO Office, Jagatpura, Jaipur, Rajasthan - 302017</t>
  </si>
  <si>
    <t>https://www.jnujaipur.ac.in</t>
  </si>
  <si>
    <t>Management/Private quota (approx), 2025-26</t>
  </si>
  <si>
    <t>Single annual course-fee figure (~Rs 21.60 lakh) found without quota-wise breakdown (state vs management); used as best-available annual tuition figure. | Aggregated fee pages (shikkha.in, selectyouruniversity.com)</t>
  </si>
  <si>
    <t>Ananta Institute of Medical Sciences &amp; Research Centre, Rajsamand</t>
  </si>
  <si>
    <t>Rajsamand</t>
  </si>
  <si>
    <t>N.H. 8, Village Kaliwas, Tehsil Nathdwara, Rajsamand, Rajasthan</t>
  </si>
  <si>
    <t>https://www.anantamedicity.com</t>
  </si>
  <si>
    <t>Management quota, 2025-26</t>
  </si>
  <si>
    <t>State/general quota fee reported separately at ~Rs 25 lakh/yr (not applicable to other-state candidates); management quota figure of Rs 28 lakh/yr used as tuition_fee. Official fee page exists at anantamedicity.com/fee-of-mbbs/ but was not independently fetched in this pass. | edufever.com / bodmaseducation.com fee pages</t>
  </si>
  <si>
    <t>American International Institute of Medical Sciences, Bedwas</t>
  </si>
  <si>
    <t>Near Transport Nagar, Bedwas, Pratap Nagar, Udaipur, Rajasthan - 313001</t>
  </si>
  <si>
    <t>0294-3536000</t>
  </si>
  <si>
    <t>https://aiimsudr.ac.in</t>
  </si>
  <si>
    <t>Management quota (15% of seats), 2025-26 - per official college fee notice</t>
  </si>
  <si>
    <t>State quota (85%) tuition fee is Rs 18,90,000/yr (not applicable to other-state candidates). Management quota tuition Rs 32,00,000/yr plus other fees Rs 36,750/yr used here; a refundable caution deposit of Rs 3,50,000 (one-time) and one-time admission fee of Rs 10,500 are additional and not included. Hostel fee separately Rs 2.1-3.5 lakh/yr. | College official fee PDF: https://aiimsudr.ac.in/wp-content/uploads/2025/08/MBBS_Fees_2025_26.pdf (referenced via careers360.com fee page)</t>
  </si>
  <si>
    <t>National Institute of Medical Science &amp; Research, Jaipur</t>
  </si>
  <si>
    <t>Deemed University</t>
  </si>
  <si>
    <t>Shobha Nagar, NH-11C, Jaipur-Delhi Highway, Jaipur, Rajasthan - 303121</t>
  </si>
  <si>
    <t>+91-7412077125 / +91-7412077141 / +91-9116010407</t>
  </si>
  <si>
    <t>MBBS, MD, MS, Nursing, Paramedical</t>
  </si>
  <si>
    <t>60-acre campus, teaching hospital, hostel, playground</t>
  </si>
  <si>
    <t>Management/deemed-university fee, 2025-26 (approx)</t>
  </si>
  <si>
    <t>Source states 1st-year charges of Rs 25-26 lakh (incl. caution deposit and one-time admission charges); midpoint (Rs 25.5 lakh) used as tuition_fee since no clean tuition-only figure was found. Approx total course cost cited as Rs 1.24-1.25 crore. | Aggregated fee pages (justmbbs.com, medicinecolleges.in)</t>
  </si>
  <si>
    <t>Deemed university; management-seat fee is uniform across categories for other-state candidates. Any domicile-based concessions would not apply to non-Rajasthan candidates on this quota.</t>
  </si>
  <si>
    <t>Teerthankar Mahaveer Medical College, Moradabad(Jain Minority)</t>
  </si>
  <si>
    <t>Private (Jain Minority)</t>
  </si>
  <si>
    <t>Moradabad</t>
  </si>
  <si>
    <t>National Highway 24, Delhi Road, Bagadpur, Moradabad, Uttar Pradesh - 244001</t>
  </si>
  <si>
    <t>Attached teaching hospital (1200+ beds), hostel available</t>
  </si>
  <si>
    <t>Only a single consolidated annual tuition figure was published (no tuition/development/other break-up). Non-minority annual tuition is Rs 16,20,000; the reduced Jain-minority-quota fee is Rs 15,69,000/yr (used only for Jain-minority candidates, 50% of seats). Hostel reported separately as Rs 1,92,500 (triple sharing) or Rs 3,00,000 (twin AC), excluded above. Affiliated to Teerthanker Mahaveer University. | Careers360, 'UP NEET UG 2025: MBBS, BDS tuition, hostel fees for minority private medical, dental colleges announced' - https://news.careers360.com/up-neet-ug-2025-mbbs-bds-tuition-hostel-fees-for-minority-private-medical-dental-colleges-announced-counselling-fee-structure</t>
  </si>
  <si>
    <t>No caste-based (SC/ST/OBC/EWS) fee split found for non-domicile management seats. The only differential reported is minority-quota (Jain, Rs 15,69,000) vs non-minority/open seat (Rs 16,20,000); figures above use the non-minority (open) fee since it applies to an other-state candidate not belonging to the Jain minority.</t>
  </si>
  <si>
    <t>Dr. S.S. Tantia Medical College, Hospital &amp; Research Centre Tantia University, Sri Ganganagar</t>
  </si>
  <si>
    <t>Sri Ganganagar</t>
  </si>
  <si>
    <t>Near RIICO, Hanumangarh Road, Sri Ganganagar, Rajasthan - 335002</t>
  </si>
  <si>
    <t>http://drsstantiamch.org</t>
  </si>
  <si>
    <t>Management/state quota (approx), 2025-26</t>
  </si>
  <si>
    <t>Approx annual tuition of Rs 14.90 lakh found without clear quota-wise (state vs management) split; total course cost cited as ~Rs 72 lakh. Treat with caution as this figure is lower than most other Rajasthan private colleges' management-quota fees. | Aggregated fee pages (edufever.com, blog.rmgoe.org)</t>
  </si>
  <si>
    <t>Mahatma Gandhi Medical College and Hospital, Jaipur</t>
  </si>
  <si>
    <t>RIICO Institutional Area, Sitapura, Tonk Road, Jaipur, Rajasthan - 302022</t>
  </si>
  <si>
    <t>0091-141-2770798</t>
  </si>
  <si>
    <t>principal.medical@mgmch.org</t>
  </si>
  <si>
    <t>https://www.mgmch.org</t>
  </si>
  <si>
    <t>MBBS, MD, MS, Super Specialty</t>
  </si>
  <si>
    <t>General/state quota fee separately reported at Rs 19,50,000/yr (not applicable to other-state candidates); management quota fee of Rs 26,75,000/yr used as tuition_fee. Total academic cost across course cited as ~Rs 1.01 crore. | Aggregated fee pages (managementquotafees.com, collegeandfees.com); official notice at mgumst.org referenced in search results</t>
  </si>
  <si>
    <t>Sudha Medical College, Via Jagpura, Jhalawar Road, Kota</t>
  </si>
  <si>
    <t>Kota</t>
  </si>
  <si>
    <t>Gram Ummedpura, Via Jagpura, NH-52, Jhalawar Road, Kota, Rajasthan - 325003</t>
  </si>
  <si>
    <t>605-bed Sudha Hospital</t>
  </si>
  <si>
    <t>State quota fee separately reported at Rs 18.90 lakh/yr (not applicable to other-state candidates); management quota fee of Rs 28.20 lakh/yr used as tuition_fee. Total course fee cited as Rs 97.95 lakh. Newly established college (2024), so fee data may still be provisional. | Aggregated fee pages (bodmaseducation.com, careeredwise.com)</t>
  </si>
  <si>
    <t>JIET Medical College And Hospital, Village Mogra, Jodhpur</t>
  </si>
  <si>
    <t>Jodhpur</t>
  </si>
  <si>
    <t>JIET Hospital, NH 62, New Pali Road, near Mogra, Jodhpur, Rajasthan - 342802</t>
  </si>
  <si>
    <t>https://www.jiethospital.com</t>
  </si>
  <si>
    <t>No reliable annual fee figure for 2025-26 could be located in this research pass; multiple aggregator pages state the fee is subject to change/not yet published. Recommend checking Rajasthan NEET UG counselling fee notice or the college directly. Newly upgraded from 50 to 100 seats (NMC approval Oct 2024); affiliated with newly formed Marwar Medical University, Jodhpur from AY 2025-26.</t>
  </si>
  <si>
    <t>Not found.</t>
  </si>
  <si>
    <t>Pacific Institute of Medical Sciences, Umarda, Udaipur</t>
  </si>
  <si>
    <t>Ambua Road, Village Umarda, Udaipur, Rajasthan - 313015</t>
  </si>
  <si>
    <t>1200+ bed hospital</t>
  </si>
  <si>
    <t>Management quota (approx), 2025-26</t>
  </si>
  <si>
    <t>Conflicting data found: one source cited a total course fee of ~Rs 1.875 crore over 4.5 years (implying ~Rs 41.6 lakh/yr), which appears anomalously high compared to peer colleges and could not be corroborated; the more plausible figure of ~Rs 15 lakh/yr (management quota) from a separate aggregate report was used instead. Recommend independent verification with the college. | Careers360 Rajasthan MBBS fee report 2025-26 (cross-checked against mbbsadvisor.in)</t>
  </si>
  <si>
    <t>Vyas Medical College &amp; Hospital, Pali Road Jodhpu</t>
  </si>
  <si>
    <t>NH-62, Jodhpur-Pali-Udaipur Highway, near Vyas Dental College, Kudi, Jodhpur, Rajasthan</t>
  </si>
  <si>
    <t>https://vyasmedicalcollege.com</t>
  </si>
  <si>
    <t>650-bed teaching hospital</t>
  </si>
  <si>
    <t>Private/state seat fee separately reported at ~Rs 21.85 lakh/yr (not applicable to other-state candidates); management quota fee of ~Rs 31.15 lakh/yr used as tuition_fee. Total course fee cited as ~Rs 1.19 crore (tuition portion ~Rs 1.15 crore). Newly established college (2024), so fee data may still be provisional. | Aggregated fee pages (collegedunia.com, argroupofeducation.com)</t>
  </si>
  <si>
    <t>Pacific Medical College &amp; Hospital, Bhilo Ka Bedla, Udaipur</t>
  </si>
  <si>
    <t>Bhilo Ka Bedla, Pratap Pura, Udaipur, Rajasthan - 313024</t>
  </si>
  <si>
    <t>0294-3520000 / 7230045361 / 7665017704</t>
  </si>
  <si>
    <t>32.14-acre campus, teaching hospital</t>
  </si>
  <si>
    <t>State quota fee separately reported at ~Rs 24.50 lakh/yr (not applicable to other-state candidates); management quota fee of ~Rs 28.50 lakh/yr used as tuition_fee. One-time caution deposit of Rs 2,00,000 additional and not included. 15% of seats reserved for NRI category. | Aggregated fee pages (schoolmykids.com, getmyuniversity.com)</t>
  </si>
  <si>
    <t>Career Institute of Medical Sciences &amp; hospital, Lucknow(Muslim Minority)</t>
  </si>
  <si>
    <t>Sitapur-Hardoi Bypass Road, Lucknow, Uttar Pradesh</t>
  </si>
  <si>
    <t>https://www.careermedical.in/</t>
  </si>
  <si>
    <t>Career Hospital (600-650+ beds), hostel available (compulsory)</t>
  </si>
  <si>
    <t>Only a single consolidated annual tuition figure of Rs 16,50,000 was published (no tuition/development/other break-up); hostel is compulsory at Rs 1,50,000/yr, excluded from the tuition figure above. Affiliated to Dr Ram Manohar Lohia Avadh University, Ayodhya. | Careers360, 'UP NEET UG 2025: MBBS, BDS tuition, hostel fees for minority private medical, dental colleges announced' - https://news.careers360.com/up-neet-ug-2025-mbbs-bds-tuition-hostel-fees-for-minority-private-medical-dental-colleges-announced-counselling-fee-structure</t>
  </si>
  <si>
    <t>NRI Medical College, Chinnakakani</t>
  </si>
  <si>
    <t>Andhra Pradesh</t>
  </si>
  <si>
    <t>Guntur</t>
  </si>
  <si>
    <t>Mangalagiri Road, Chinnakakani, Guntur District, Andhra Pradesh - 522503</t>
  </si>
  <si>
    <t>https://nrias.ac.in</t>
  </si>
  <si>
    <t>Management Quota (Category-B) 2025-26</t>
  </si>
  <si>
    <t>Only one consolidated tuition fee is notified for Category-B (management/open, other-state accessible) seats for 2025-26; no separate development/other fee breakup published so development_fee and other_fees set to 0. Category-C (NRI) fee for this college is Rs 39,60,000 per annum per the same notification. | Dr NTR University of Health Sciences notification dt.11-11-2025 (G.O.Ms.No.776, HM&amp;FW Dept, dt.09-11-2025) - https://drntr.uhsap.in/index/notification/20251111185452917.pdf</t>
  </si>
  <si>
    <t>NTRUHS notification does not differentiate the Category-B management-quota fee by candidate caste category; same fee applies to all candidates admitted under Category-B seats regardless of domicile.</t>
  </si>
  <si>
    <t>Narayana Medical College, Nellore</t>
  </si>
  <si>
    <t>Nellore</t>
  </si>
  <si>
    <t>Chinthareddypalem, Nellore - 524003, Andhra Pradesh</t>
  </si>
  <si>
    <t>https://narayanamedicalcollege.com</t>
  </si>
  <si>
    <t>28.92-acre campus with attached teaching hospital</t>
  </si>
  <si>
    <t>Only one consolidated tuition fee is notified for Category-B (management/open, other-state accessible) seats for 2025-26; development/other fees not separately published so set to 0. Category-C (NRI) fee for this college is Rs 39,60,000 per annum per the same notification. | Dr NTR University of Health Sciences notification dt.11-11-2025 (G.O.Ms.No.776, HM&amp;FW Dept, dt.09-11-2025) - https://drntr.uhsap.in/index/notification/20251111185452917.pdf</t>
  </si>
  <si>
    <t>Apollo Institute of Medical Sciences and Research, Chittoor</t>
  </si>
  <si>
    <t>Chittoor</t>
  </si>
  <si>
    <t>Murukambattu, Chittoor, Andhra Pradesh - 517127</t>
  </si>
  <si>
    <t>https://aimsrchittoor.edu.in</t>
  </si>
  <si>
    <t>Located within the 108-acre Apollo Knowledge &amp; Health City campus</t>
  </si>
  <si>
    <t>Alluri Seetharama Raju Academy of Medical Sciences, Eluru</t>
  </si>
  <si>
    <t>Eluru</t>
  </si>
  <si>
    <t>Malkapuram, Eluru, Andhra Pradesh - 534005</t>
  </si>
  <si>
    <t>+91 9491044836 / 9491044844</t>
  </si>
  <si>
    <t>info@asram.in</t>
  </si>
  <si>
    <t>https://www.asram.in</t>
  </si>
  <si>
    <t>MBBS, B.Sc Nursing, GNM Diploma in Nursing</t>
  </si>
  <si>
    <t>Medical college and teaching hospital spread over about 100 acres</t>
  </si>
  <si>
    <t>Dr. Pinnamaneni Siddhartha Institute of Medical Sciences, Gannavaram</t>
  </si>
  <si>
    <t>Gannavaram</t>
  </si>
  <si>
    <t>NH-5, Chinoutpalli, Gannavaram Mandal, Krishna District, Andhra Pradesh - 521286</t>
  </si>
  <si>
    <t>https://drpinnamanenisimsrf.edu.in</t>
  </si>
  <si>
    <t>40-acre campus near Gannavaram Airport</t>
  </si>
  <si>
    <t>Only one consolidated tuition fee is notified for Category-B (management/open, other-state accessible) seats for 2025-26; development/other fees not separately published so set to 0. Category-C (NRI) fee for this college is Rs 39,60,000 per annum per the same notification. Total MBBS intake seats not confirmed from sources checked. | Dr NTR University of Health Sciences notification dt.11-11-2025 (G.O.Ms.No.776, HM&amp;FW Dept, dt.09-11-2025) - https://drntr.uhsap.in/index/notification/20251111185452917.pdf</t>
  </si>
  <si>
    <t>GSL Medical College, Rajahmundry</t>
  </si>
  <si>
    <t>Rajahmundry</t>
  </si>
  <si>
    <t>NH-16, Lakshmipuram, Rajahmundry, Andhra Pradesh - 533296</t>
  </si>
  <si>
    <t>0883-2484999</t>
  </si>
  <si>
    <t>principal@gslmc.com</t>
  </si>
  <si>
    <t>https://gslmc.com</t>
  </si>
  <si>
    <t>NRI Institute of Medical Sciences, Visakhapatnam</t>
  </si>
  <si>
    <t>Visakhapatnam</t>
  </si>
  <si>
    <t>Bheemunipatnam, Sangivalasa, Visakhapatnam, Andhra Pradesh - 531162</t>
  </si>
  <si>
    <t>https://nrimedicalsciences.com</t>
  </si>
  <si>
    <t>Katuri Medical College and Hospital, Guntur</t>
  </si>
  <si>
    <t>Katuri Health City, Chinnakondrupadu, Chowdavaram, Guntur, Andhra Pradesh - 522019</t>
  </si>
  <si>
    <t>0863-2288555, 0863-2288556, 0863-2288557</t>
  </si>
  <si>
    <t>kmchgnt@gmail.com</t>
  </si>
  <si>
    <t>https://katurimedicalcollege.org</t>
  </si>
  <si>
    <t>MBBS, B.Sc Nursing</t>
  </si>
  <si>
    <t>P.E.S. Institute of Medical Sciences and Research, Kuppam</t>
  </si>
  <si>
    <t>Kuppam</t>
  </si>
  <si>
    <t>National Highway 219, Kuppam, Chittoor District, Andhra Pradesh - 517425</t>
  </si>
  <si>
    <t>08570-256736</t>
  </si>
  <si>
    <t>admissions@pes.edu</t>
  </si>
  <si>
    <t>https://pesimsr.pes.edu</t>
  </si>
  <si>
    <t>Attached 750-bed teaching hospital</t>
  </si>
  <si>
    <t>Konasema Institute of Medical Sciences and Research Foundation, Amalapuram</t>
  </si>
  <si>
    <t>Amalapuram</t>
  </si>
  <si>
    <t>NH-216, Chaitanya Health City, Amalapuram, East Godavari District, Andhra Pradesh - 533201</t>
  </si>
  <si>
    <t>Great Eastern Medical School and Hospital, Srikakulam</t>
  </si>
  <si>
    <t>Srikakulam</t>
  </si>
  <si>
    <t>Aditya Educational Society, Ragolu Village, Srikakulam District, Andhra Pradesh - 532484</t>
  </si>
  <si>
    <t>08942-278201 / 278301</t>
  </si>
  <si>
    <t>principaloffice@gems.edu.in</t>
  </si>
  <si>
    <t>https://gems.edu.in</t>
  </si>
  <si>
    <t>Viswabharathi Medical College, Kurnool</t>
  </si>
  <si>
    <t>Kurnool</t>
  </si>
  <si>
    <t>Penchikalapadu, Kurnool - 518463, Andhra Pradesh</t>
  </si>
  <si>
    <t>78-acre campus with attached teaching hospital</t>
  </si>
  <si>
    <t>Sri Balaji Medical College Hospital &amp; Research Institute, Renigunta</t>
  </si>
  <si>
    <t>Tirupati</t>
  </si>
  <si>
    <t>Airport Road, Renigunta, Tirupati, Andhra Pradesh - 517520</t>
  </si>
  <si>
    <t>https://sbmch.org</t>
  </si>
  <si>
    <t>Only one consolidated tuition fee is notified for Category-B (management/open, other-state accessible) seats for 2025-26; development/other fees not separately published so set to 0. Category-C (NRI) fee for this college is Rs 36,00,000 per annum per the same notification (lower than most other AP colleges' Rs 39,60,000). | Dr NTR University of Health Sciences notification dt.11-11-2025 (G.O.Ms.No.776, HM&amp;FW Dept, dt.09-11-2025) - https://drntr.uhsap.in/index/notification/20251111185452917.pdf</t>
  </si>
  <si>
    <t>Gayatri Vidya Parishad Inst. of Health Care and Medical Technology, Visakhapatnam</t>
  </si>
  <si>
    <t>Maridi Valley, Marikavalasa Village, Madhura Nagar, Kommadi, Visakhapatnam, Andhra Pradesh - 530048</t>
  </si>
  <si>
    <t>28.6-acre campus with 650+ bed multi-specialty teaching hospital</t>
  </si>
  <si>
    <t>Only one consolidated tuition fee is notified for Category-B (management/open, other-state accessible) seats for 2025-26; development/other fees not separately published so set to 0. Category-C (NRI) fee for this college is Rs 39,60,000 per annum per the same notification. Sources conflict on intake (150 vs 200 after augmentation); 150 used as the more frequently cited figure. | Dr NTR University of Health Sciences notification dt.11-11-2025 (G.O.Ms.No.776, HM&amp;FW Dept, dt.09-11-2025) - https://drntr.uhsap.in/index/notification/20251111185452917.pdf</t>
  </si>
  <si>
    <t>Santhiram Medical College, Nandyal</t>
  </si>
  <si>
    <t>Nandyal</t>
  </si>
  <si>
    <t>NH-40, Nandyal, Andhra Pradesh - 518001</t>
  </si>
  <si>
    <t>08514-222012</t>
  </si>
  <si>
    <t>principalrmc1958@gmail.com</t>
  </si>
  <si>
    <t>http://santhirammedicalcollege.com</t>
  </si>
  <si>
    <t>Only one consolidated tuition fee is notified for Category-B (management/open, other-state accessible) seats for 2025-26; development/other fees not separately published so set to 0. Category-C (NRI) fee for this college is Rs 35,00,000 per annum per the same notification (lower than most other AP colleges' Rs 39,60,000). | Dr NTR University of Health Sciences notification dt.11-11-2025 (G.O.Ms.No.776, HM&amp;FW Dept, dt.09-11-2025) - https://drntr.uhsap.in/index/notification/20251111185452917.pdf</t>
  </si>
  <si>
    <t>Maharaja Institute of Medical Sciences, Vizianagaram</t>
  </si>
  <si>
    <t>Vizianagaram</t>
  </si>
  <si>
    <t>31-15, Nellimarla, near MDO Office, Vizianagaram, Andhra Pradesh - 535217</t>
  </si>
  <si>
    <t>50-acre campus with 1000-bed multi-specialty teaching hospital</t>
  </si>
  <si>
    <t>Anna Gowri Medical College and Hospital, Parameshwaramangalam</t>
  </si>
  <si>
    <t>Puttur</t>
  </si>
  <si>
    <t>Parameswaramangalam Village, Puttur Mandal, Tirupati District, Andhra Pradesh - 517584</t>
  </si>
  <si>
    <t>8971263003</t>
  </si>
  <si>
    <t>deanagmch5@gmail.com</t>
  </si>
  <si>
    <t>https://annagowrimedicalcollege.org</t>
  </si>
  <si>
    <t>Newly established college (approved 2025-26); only one consolidated tuition fee is notified for Category-B (management/open, other-state accessible) seats for 2025-26; development/other fees not separately published so set to 0. Category-C (NRI) fee for this college is Rs 32,00,000 per annum per the same notification. | Dr NTR University of Health Sciences notification dt.11-11-2025 (G.O.Ms.No.776, HM&amp;FW Dept, dt.09-11-2025) - https://drntr.uhsap.in/index/notification/20251111185452917.pdf</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</si>
</sst>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 #,##0.00_ ;_ &quot;₹&quot;\ * \-#,##0.00_ ;_ &quot;₹&quot;\ * &quot;-&quot;??_ ;_ @_ "/>
    <numFmt numFmtId="178" formatCode="_ * #,##0_ ;_ * \-#,##0_ ;_ * &quot;-&quot;_ ;_ @_ "/>
    <numFmt numFmtId="179" formatCode="_ &quot;₹&quot;\ * #,##0_ ;_ &quot;₹&quot;\ * \-#,##0_ ;_ &quot;₹&quot;\ * &quot;-&quot;_ ;_ @_ "/>
    <numFmt numFmtId="180" formatCode="&quot;₹&quot;\ #,##0"/>
  </numFmts>
  <fonts count="23">
    <font>
      <sz val="11"/>
      <color theme="1"/>
      <name val="Calibri"/>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SimSu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xf numFmtId="177" fontId="1" fillId="0" borderId="0"/>
    <xf numFmtId="9" fontId="1" fillId="0" borderId="0"/>
    <xf numFmtId="178" fontId="1" fillId="0" borderId="0"/>
    <xf numFmtId="179" fontId="1" fillId="0" borderId="0"/>
    <xf numFmtId="0" fontId="2" fillId="0" borderId="0">
      <alignment vertical="center"/>
    </xf>
    <xf numFmtId="0" fontId="3" fillId="0" borderId="0">
      <alignment vertical="center"/>
    </xf>
    <xf numFmtId="0" fontId="4" fillId="2" borderId="1">
      <alignment vertical="center"/>
    </xf>
    <xf numFmtId="0" fontId="5" fillId="0" borderId="0">
      <alignment vertical="center"/>
    </xf>
    <xf numFmtId="0" fontId="6" fillId="0" borderId="0">
      <alignment vertical="center"/>
    </xf>
    <xf numFmtId="0" fontId="7" fillId="0" borderId="0">
      <alignment vertical="center"/>
    </xf>
    <xf numFmtId="0" fontId="8" fillId="0" borderId="2">
      <alignment vertical="center"/>
    </xf>
    <xf numFmtId="0" fontId="9" fillId="0" borderId="2">
      <alignment vertical="center"/>
    </xf>
    <xf numFmtId="0" fontId="10" fillId="0" borderId="3">
      <alignment vertical="center"/>
    </xf>
    <xf numFmtId="0" fontId="10" fillId="0" borderId="0">
      <alignment vertical="center"/>
    </xf>
    <xf numFmtId="0" fontId="11" fillId="3" borderId="4">
      <alignment vertical="center"/>
    </xf>
    <xf numFmtId="0" fontId="12" fillId="4" borderId="5">
      <alignment vertical="center"/>
    </xf>
    <xf numFmtId="0" fontId="13" fillId="4" borderId="4">
      <alignment vertical="center"/>
    </xf>
    <xf numFmtId="0" fontId="14" fillId="5" borderId="6">
      <alignment vertical="center"/>
    </xf>
    <xf numFmtId="0" fontId="15" fillId="0" borderId="7">
      <alignment vertical="center"/>
    </xf>
    <xf numFmtId="0" fontId="16" fillId="0" borderId="8">
      <alignment vertical="center"/>
    </xf>
    <xf numFmtId="0" fontId="17" fillId="6" borderId="0">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1" fillId="11" borderId="0">
      <alignment vertical="center"/>
    </xf>
    <xf numFmtId="0" fontId="20" fillId="12" borderId="0">
      <alignment vertical="center"/>
    </xf>
    <xf numFmtId="0" fontId="20" fillId="13" borderId="0">
      <alignment vertical="center"/>
    </xf>
    <xf numFmtId="0" fontId="21" fillId="14" borderId="0">
      <alignment vertical="center"/>
    </xf>
    <xf numFmtId="0" fontId="21" fillId="15" borderId="0">
      <alignment vertical="center"/>
    </xf>
    <xf numFmtId="0" fontId="20" fillId="16" borderId="0">
      <alignment vertical="center"/>
    </xf>
    <xf numFmtId="0" fontId="20" fillId="17" borderId="0">
      <alignment vertical="center"/>
    </xf>
    <xf numFmtId="0" fontId="21" fillId="18" borderId="0">
      <alignment vertical="center"/>
    </xf>
    <xf numFmtId="0" fontId="21" fillId="19" borderId="0">
      <alignment vertical="center"/>
    </xf>
    <xf numFmtId="0" fontId="20" fillId="20" borderId="0">
      <alignment vertical="center"/>
    </xf>
    <xf numFmtId="0" fontId="20" fillId="21" borderId="0">
      <alignment vertical="center"/>
    </xf>
    <xf numFmtId="0" fontId="21" fillId="22" borderId="0">
      <alignment vertical="center"/>
    </xf>
    <xf numFmtId="0" fontId="21" fillId="23" borderId="0">
      <alignment vertical="center"/>
    </xf>
    <xf numFmtId="0" fontId="20" fillId="24" borderId="0">
      <alignment vertical="center"/>
    </xf>
    <xf numFmtId="0" fontId="20" fillId="25" borderId="0">
      <alignment vertical="center"/>
    </xf>
    <xf numFmtId="0" fontId="21" fillId="26" borderId="0">
      <alignment vertical="center"/>
    </xf>
    <xf numFmtId="0" fontId="21" fillId="27" borderId="0">
      <alignment vertical="center"/>
    </xf>
    <xf numFmtId="0" fontId="20" fillId="28" borderId="0">
      <alignment vertical="center"/>
    </xf>
    <xf numFmtId="0" fontId="20" fillId="29" borderId="0">
      <alignment vertical="center"/>
    </xf>
    <xf numFmtId="0" fontId="21" fillId="30" borderId="0">
      <alignment vertical="center"/>
    </xf>
    <xf numFmtId="0" fontId="21" fillId="31" borderId="0">
      <alignment vertical="center"/>
    </xf>
    <xf numFmtId="0" fontId="20" fillId="32" borderId="0">
      <alignment vertical="center"/>
    </xf>
  </cellStyleXfs>
  <cellXfs count="2">
    <xf numFmtId="0" fontId="0" fillId="0" borderId="0" xfId="0"/>
    <xf numFmtId="180" fontId="0" fillId="0" borderId="0" xfId="0" applyNumberForma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44"/>
  <sheetViews>
    <sheetView tabSelected="1" topLeftCell="A117" workbookViewId="0">
      <selection activeCell="D1" sqref="D$1:D$1048576"/>
    </sheetView>
  </sheetViews>
  <sheetFormatPr defaultColWidth="8.67592592592593" defaultRowHeight="14.4"/>
  <cols>
    <col min="1" max="1" width="57.2222222222222" customWidth="1"/>
    <col min="2" max="2" width="19.1111111111111" customWidth="1"/>
    <col min="3" max="3" width="19.2222222222222" customWidth="1"/>
    <col min="4" max="4" width="14.5555555555556" customWidth="1"/>
    <col min="5" max="5" width="22" customWidth="1"/>
    <col min="6" max="6" width="12" customWidth="1"/>
    <col min="7" max="8" width="16" customWidth="1"/>
    <col min="9" max="9" width="50" customWidth="1"/>
    <col min="10" max="10" width="24" customWidth="1"/>
    <col min="11" max="11" width="30" customWidth="1"/>
    <col min="12" max="12" width="34" customWidth="1"/>
    <col min="13" max="13" width="10" customWidth="1"/>
    <col min="14" max="14" width="40" customWidth="1"/>
    <col min="15" max="15" width="50" customWidth="1"/>
    <col min="16" max="20" width="13" customWidth="1"/>
    <col min="21" max="21" width="26" customWidth="1"/>
    <col min="22" max="22" width="50" customWidth="1"/>
    <col min="23" max="27" width="13" customWidth="1"/>
    <col min="28" max="28" width="50" customWidth="1"/>
  </cols>
  <sheetData>
    <row r="1" spans="1:28">
      <c r="A1" t="s">
        <v>0</v>
      </c>
      <c r="B1" t="s">
        <v>1</v>
      </c>
      <c r="C1" t="s">
        <v>2</v>
      </c>
      <c r="D1" t="s">
        <v>3</v>
      </c>
      <c r="E1" t="s">
        <v>4</v>
      </c>
      <c r="F1" t="s">
        <v>5</v>
      </c>
      <c r="G1" t="s">
        <v>6</v>
      </c>
      <c r="H1" t="s">
        <v>1</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row>
    <row r="2" spans="1:28">
      <c r="A2" t="s">
        <v>27</v>
      </c>
      <c r="B2" t="s">
        <v>28</v>
      </c>
      <c r="C2">
        <v>23923</v>
      </c>
      <c r="D2">
        <v>530</v>
      </c>
      <c r="E2" t="s">
        <v>29</v>
      </c>
      <c r="F2">
        <v>2003</v>
      </c>
      <c r="G2" t="s">
        <v>30</v>
      </c>
      <c r="H2" t="s">
        <v>28</v>
      </c>
      <c r="I2" t="s">
        <v>31</v>
      </c>
      <c r="J2" t="s">
        <v>32</v>
      </c>
      <c r="L2" t="s">
        <v>33</v>
      </c>
      <c r="M2">
        <v>150</v>
      </c>
      <c r="N2" t="s">
        <v>34</v>
      </c>
      <c r="O2" t="s">
        <v>35</v>
      </c>
      <c r="P2" t="s">
        <v>36</v>
      </c>
      <c r="Q2" s="1">
        <v>856840</v>
      </c>
      <c r="R2" s="1">
        <v>0</v>
      </c>
      <c r="S2" s="1">
        <v>0</v>
      </c>
      <c r="T2" s="1">
        <f t="shared" ref="T2:T65" si="0">IF(COUNT(Q2:S2)=0,"",SUM(Q2:S2))</f>
        <v>856840</v>
      </c>
      <c r="U2" t="s">
        <v>37</v>
      </c>
      <c r="V2" t="s">
        <v>38</v>
      </c>
      <c r="W2" s="1">
        <v>856840</v>
      </c>
      <c r="X2" s="1">
        <v>856840</v>
      </c>
      <c r="Y2" s="1">
        <v>856840</v>
      </c>
      <c r="Z2" s="1">
        <v>856840</v>
      </c>
      <c r="AA2" s="1">
        <v>856840</v>
      </c>
      <c r="AB2" t="s">
        <v>39</v>
      </c>
    </row>
    <row r="3" spans="1:28">
      <c r="A3" t="s">
        <v>40</v>
      </c>
      <c r="B3" t="s">
        <v>28</v>
      </c>
      <c r="C3">
        <v>27193</v>
      </c>
      <c r="D3">
        <v>526</v>
      </c>
      <c r="E3" t="s">
        <v>29</v>
      </c>
      <c r="F3">
        <v>2003</v>
      </c>
      <c r="G3" t="s">
        <v>30</v>
      </c>
      <c r="H3" t="s">
        <v>28</v>
      </c>
      <c r="I3" t="s">
        <v>41</v>
      </c>
      <c r="J3" t="s">
        <v>42</v>
      </c>
      <c r="L3" t="s">
        <v>43</v>
      </c>
      <c r="M3">
        <v>100</v>
      </c>
      <c r="N3" t="s">
        <v>44</v>
      </c>
      <c r="O3" t="s">
        <v>45</v>
      </c>
      <c r="P3" t="s">
        <v>36</v>
      </c>
      <c r="Q3" s="1">
        <v>816038</v>
      </c>
      <c r="R3" s="1">
        <v>0</v>
      </c>
      <c r="S3" s="1">
        <v>0</v>
      </c>
      <c r="T3" s="1">
        <f t="shared" si="0"/>
        <v>816038</v>
      </c>
      <c r="U3" t="s">
        <v>37</v>
      </c>
      <c r="V3" t="s">
        <v>46</v>
      </c>
      <c r="W3" s="1">
        <v>816038</v>
      </c>
      <c r="X3" s="1">
        <v>816038</v>
      </c>
      <c r="Y3" s="1">
        <v>816038</v>
      </c>
      <c r="Z3" s="1">
        <v>816038</v>
      </c>
      <c r="AA3" s="1">
        <v>816038</v>
      </c>
      <c r="AB3" t="s">
        <v>47</v>
      </c>
    </row>
    <row r="4" spans="1:28">
      <c r="A4" t="s">
        <v>48</v>
      </c>
      <c r="B4" t="s">
        <v>28</v>
      </c>
      <c r="C4">
        <v>29857</v>
      </c>
      <c r="D4">
        <v>522</v>
      </c>
      <c r="E4" t="s">
        <v>29</v>
      </c>
      <c r="G4" t="s">
        <v>49</v>
      </c>
      <c r="H4" t="s">
        <v>28</v>
      </c>
      <c r="I4" t="s">
        <v>50</v>
      </c>
      <c r="J4" t="s">
        <v>51</v>
      </c>
      <c r="K4" t="s">
        <v>52</v>
      </c>
      <c r="L4" t="s">
        <v>53</v>
      </c>
      <c r="M4">
        <v>100</v>
      </c>
      <c r="N4" t="s">
        <v>54</v>
      </c>
      <c r="O4" t="s">
        <v>55</v>
      </c>
      <c r="Q4" s="1">
        <v>856840</v>
      </c>
      <c r="R4" s="1">
        <v>0</v>
      </c>
      <c r="S4" s="1">
        <v>0</v>
      </c>
      <c r="T4" s="1">
        <f t="shared" si="0"/>
        <v>856840</v>
      </c>
      <c r="U4" t="s">
        <v>56</v>
      </c>
      <c r="V4" t="s">
        <v>57</v>
      </c>
      <c r="W4" s="1">
        <v>856840</v>
      </c>
      <c r="X4" s="1">
        <v>856840</v>
      </c>
      <c r="Y4" s="1">
        <v>856840</v>
      </c>
      <c r="Z4" s="1">
        <v>856840</v>
      </c>
      <c r="AA4" s="1">
        <v>856840</v>
      </c>
      <c r="AB4" t="s">
        <v>58</v>
      </c>
    </row>
    <row r="5" spans="1:28">
      <c r="A5" t="s">
        <v>59</v>
      </c>
      <c r="B5" t="s">
        <v>28</v>
      </c>
      <c r="C5">
        <v>30264</v>
      </c>
      <c r="D5">
        <v>522</v>
      </c>
      <c r="E5" t="s">
        <v>29</v>
      </c>
      <c r="F5">
        <v>2001</v>
      </c>
      <c r="G5" t="s">
        <v>60</v>
      </c>
      <c r="H5" t="s">
        <v>28</v>
      </c>
      <c r="I5" t="s">
        <v>61</v>
      </c>
      <c r="L5" t="s">
        <v>62</v>
      </c>
      <c r="M5">
        <v>150</v>
      </c>
      <c r="N5" t="s">
        <v>54</v>
      </c>
      <c r="O5" t="s">
        <v>63</v>
      </c>
      <c r="Q5" s="1">
        <v>816000</v>
      </c>
      <c r="R5" s="1">
        <v>0</v>
      </c>
      <c r="S5" s="1">
        <v>0</v>
      </c>
      <c r="T5" s="1">
        <f t="shared" si="0"/>
        <v>816000</v>
      </c>
      <c r="U5" t="s">
        <v>64</v>
      </c>
      <c r="V5" t="s">
        <v>65</v>
      </c>
      <c r="W5" s="1">
        <v>816000</v>
      </c>
      <c r="X5" s="1">
        <v>816000</v>
      </c>
      <c r="Y5" s="1">
        <v>816000</v>
      </c>
      <c r="Z5" s="1">
        <v>816000</v>
      </c>
      <c r="AA5" s="1">
        <v>816000</v>
      </c>
      <c r="AB5" t="s">
        <v>66</v>
      </c>
    </row>
    <row r="6" spans="1:28">
      <c r="A6" t="s">
        <v>67</v>
      </c>
      <c r="B6" t="s">
        <v>68</v>
      </c>
      <c r="C6">
        <v>30886</v>
      </c>
      <c r="D6">
        <v>470</v>
      </c>
      <c r="E6" t="s">
        <v>69</v>
      </c>
      <c r="F6">
        <v>1984</v>
      </c>
      <c r="G6" t="s">
        <v>70</v>
      </c>
      <c r="H6" t="s">
        <v>68</v>
      </c>
      <c r="I6" t="s">
        <v>71</v>
      </c>
      <c r="J6" t="s">
        <v>72</v>
      </c>
      <c r="L6" t="s">
        <v>73</v>
      </c>
      <c r="M6">
        <v>150</v>
      </c>
      <c r="N6" t="s">
        <v>54</v>
      </c>
      <c r="O6" t="s">
        <v>74</v>
      </c>
      <c r="Q6" s="1">
        <v>1200117</v>
      </c>
      <c r="R6" s="1">
        <v>0</v>
      </c>
      <c r="S6" s="1">
        <v>0</v>
      </c>
      <c r="T6" s="1">
        <f t="shared" si="0"/>
        <v>1200117</v>
      </c>
      <c r="U6" t="s">
        <v>75</v>
      </c>
      <c r="V6" t="s">
        <v>76</v>
      </c>
      <c r="W6" s="1">
        <v>1200117</v>
      </c>
      <c r="X6" s="1">
        <v>1200117</v>
      </c>
      <c r="Y6" s="1">
        <v>1200117</v>
      </c>
      <c r="Z6" s="1">
        <v>1200117</v>
      </c>
      <c r="AA6" s="1">
        <v>1200117</v>
      </c>
      <c r="AB6" t="s">
        <v>77</v>
      </c>
    </row>
    <row r="7" spans="1:28">
      <c r="A7" t="s">
        <v>78</v>
      </c>
      <c r="B7" t="s">
        <v>28</v>
      </c>
      <c r="C7">
        <v>32658</v>
      </c>
      <c r="D7">
        <v>519</v>
      </c>
      <c r="E7" t="s">
        <v>79</v>
      </c>
      <c r="G7" t="s">
        <v>80</v>
      </c>
      <c r="H7" t="s">
        <v>28</v>
      </c>
      <c r="I7" t="s">
        <v>81</v>
      </c>
      <c r="M7">
        <v>150</v>
      </c>
      <c r="N7" t="s">
        <v>54</v>
      </c>
      <c r="O7" t="s">
        <v>63</v>
      </c>
      <c r="Q7" s="1">
        <v>810175</v>
      </c>
      <c r="R7" s="1">
        <v>0</v>
      </c>
      <c r="S7" s="1">
        <v>0</v>
      </c>
      <c r="T7" s="1">
        <f t="shared" si="0"/>
        <v>810175</v>
      </c>
      <c r="U7" t="s">
        <v>82</v>
      </c>
      <c r="V7" t="s">
        <v>83</v>
      </c>
      <c r="W7" s="1">
        <v>810175</v>
      </c>
      <c r="X7" s="1">
        <v>810175</v>
      </c>
      <c r="Y7" s="1">
        <v>810175</v>
      </c>
      <c r="Z7" s="1">
        <v>810175</v>
      </c>
      <c r="AA7" s="1">
        <v>810175</v>
      </c>
      <c r="AB7" t="s">
        <v>66</v>
      </c>
    </row>
    <row r="8" spans="1:28">
      <c r="A8" t="s">
        <v>84</v>
      </c>
      <c r="B8" t="s">
        <v>28</v>
      </c>
      <c r="C8">
        <v>33265</v>
      </c>
      <c r="D8">
        <v>518</v>
      </c>
      <c r="E8" t="s">
        <v>29</v>
      </c>
      <c r="F8">
        <v>2016</v>
      </c>
      <c r="G8" t="s">
        <v>85</v>
      </c>
      <c r="H8" t="s">
        <v>28</v>
      </c>
      <c r="I8" t="s">
        <v>86</v>
      </c>
      <c r="M8">
        <v>100</v>
      </c>
      <c r="N8" t="s">
        <v>54</v>
      </c>
      <c r="O8" t="s">
        <v>87</v>
      </c>
      <c r="Q8" s="1">
        <v>816000</v>
      </c>
      <c r="R8" s="1">
        <v>0</v>
      </c>
      <c r="S8" s="1">
        <v>0</v>
      </c>
      <c r="T8" s="1">
        <f t="shared" si="0"/>
        <v>816000</v>
      </c>
      <c r="U8" t="s">
        <v>64</v>
      </c>
      <c r="V8" t="s">
        <v>88</v>
      </c>
      <c r="W8" s="1">
        <v>816000</v>
      </c>
      <c r="X8" s="1">
        <v>816000</v>
      </c>
      <c r="Y8" s="1">
        <v>816000</v>
      </c>
      <c r="Z8" s="1">
        <v>816000</v>
      </c>
      <c r="AA8" s="1">
        <v>816000</v>
      </c>
      <c r="AB8" t="s">
        <v>66</v>
      </c>
    </row>
    <row r="9" spans="1:28">
      <c r="A9" t="s">
        <v>89</v>
      </c>
      <c r="B9" t="s">
        <v>68</v>
      </c>
      <c r="C9">
        <v>39089</v>
      </c>
      <c r="D9">
        <v>512</v>
      </c>
      <c r="E9" t="s">
        <v>90</v>
      </c>
      <c r="F9">
        <v>1980</v>
      </c>
      <c r="G9" t="s">
        <v>91</v>
      </c>
      <c r="H9" t="s">
        <v>68</v>
      </c>
      <c r="I9" t="s">
        <v>92</v>
      </c>
      <c r="L9" t="s">
        <v>93</v>
      </c>
      <c r="M9">
        <v>150</v>
      </c>
      <c r="N9" t="s">
        <v>54</v>
      </c>
      <c r="Q9" s="1">
        <v>1200117</v>
      </c>
      <c r="R9" s="1">
        <v>0</v>
      </c>
      <c r="S9" s="1">
        <v>0</v>
      </c>
      <c r="T9" s="1">
        <f t="shared" si="0"/>
        <v>1200117</v>
      </c>
      <c r="U9" t="s">
        <v>75</v>
      </c>
      <c r="V9" t="s">
        <v>94</v>
      </c>
      <c r="W9" s="1">
        <v>1200117</v>
      </c>
      <c r="X9" s="1">
        <v>1200117</v>
      </c>
      <c r="Y9" s="1">
        <v>1200117</v>
      </c>
      <c r="Z9" s="1">
        <v>1200117</v>
      </c>
      <c r="AA9" s="1">
        <v>1200117</v>
      </c>
      <c r="AB9" t="s">
        <v>77</v>
      </c>
    </row>
    <row r="10" spans="1:28">
      <c r="A10" t="s">
        <v>95</v>
      </c>
      <c r="B10" t="s">
        <v>68</v>
      </c>
      <c r="C10">
        <v>44842</v>
      </c>
      <c r="D10">
        <v>507</v>
      </c>
      <c r="E10" t="s">
        <v>90</v>
      </c>
      <c r="F10">
        <v>2000</v>
      </c>
      <c r="G10" t="s">
        <v>91</v>
      </c>
      <c r="H10" t="s">
        <v>68</v>
      </c>
      <c r="I10" t="s">
        <v>96</v>
      </c>
      <c r="J10" t="s">
        <v>97</v>
      </c>
      <c r="L10" t="s">
        <v>98</v>
      </c>
      <c r="M10">
        <v>250</v>
      </c>
      <c r="N10" t="s">
        <v>54</v>
      </c>
      <c r="O10" t="s">
        <v>99</v>
      </c>
      <c r="Q10" s="1">
        <v>1200117</v>
      </c>
      <c r="R10" s="1">
        <v>0</v>
      </c>
      <c r="S10" s="1">
        <v>0</v>
      </c>
      <c r="T10" s="1">
        <f t="shared" si="0"/>
        <v>1200117</v>
      </c>
      <c r="U10" t="s">
        <v>75</v>
      </c>
      <c r="V10" t="s">
        <v>100</v>
      </c>
      <c r="W10" s="1">
        <v>1200117</v>
      </c>
      <c r="X10" s="1">
        <v>1200117</v>
      </c>
      <c r="Y10" s="1">
        <v>1200117</v>
      </c>
      <c r="Z10" s="1">
        <v>1200117</v>
      </c>
      <c r="AA10" s="1">
        <v>1200117</v>
      </c>
      <c r="AB10" t="s">
        <v>77</v>
      </c>
    </row>
    <row r="11" spans="1:28">
      <c r="A11" t="s">
        <v>101</v>
      </c>
      <c r="B11" t="s">
        <v>68</v>
      </c>
      <c r="C11">
        <v>46084</v>
      </c>
      <c r="D11">
        <v>505</v>
      </c>
      <c r="E11" t="s">
        <v>29</v>
      </c>
      <c r="F11">
        <v>1991</v>
      </c>
      <c r="G11" t="s">
        <v>102</v>
      </c>
      <c r="H11" t="s">
        <v>68</v>
      </c>
      <c r="I11" t="s">
        <v>103</v>
      </c>
      <c r="L11" t="s">
        <v>104</v>
      </c>
      <c r="M11">
        <v>150</v>
      </c>
      <c r="N11" t="s">
        <v>54</v>
      </c>
      <c r="Q11" s="1">
        <v>1200117</v>
      </c>
      <c r="R11" s="1">
        <v>0</v>
      </c>
      <c r="S11" s="1">
        <v>0</v>
      </c>
      <c r="T11" s="1">
        <f t="shared" si="0"/>
        <v>1200117</v>
      </c>
      <c r="U11" t="s">
        <v>75</v>
      </c>
      <c r="V11" t="s">
        <v>105</v>
      </c>
      <c r="W11" s="1">
        <v>1200117</v>
      </c>
      <c r="X11" s="1">
        <v>1200117</v>
      </c>
      <c r="Y11" s="1">
        <v>1200117</v>
      </c>
      <c r="Z11" s="1">
        <v>1200117</v>
      </c>
      <c r="AA11" s="1">
        <v>1200117</v>
      </c>
      <c r="AB11" t="s">
        <v>77</v>
      </c>
    </row>
    <row r="12" spans="1:28">
      <c r="A12" t="s">
        <v>106</v>
      </c>
      <c r="B12" t="s">
        <v>28</v>
      </c>
      <c r="C12">
        <v>46597</v>
      </c>
      <c r="D12">
        <v>504</v>
      </c>
      <c r="E12" t="s">
        <v>69</v>
      </c>
      <c r="F12">
        <v>2004</v>
      </c>
      <c r="G12" t="s">
        <v>107</v>
      </c>
      <c r="H12" t="s">
        <v>28</v>
      </c>
      <c r="I12" t="s">
        <v>108</v>
      </c>
      <c r="J12" t="s">
        <v>109</v>
      </c>
      <c r="M12">
        <v>150</v>
      </c>
      <c r="N12" t="s">
        <v>54</v>
      </c>
      <c r="O12" t="s">
        <v>110</v>
      </c>
      <c r="Q12" s="1">
        <v>816038</v>
      </c>
      <c r="R12" s="1">
        <v>0</v>
      </c>
      <c r="S12" s="1">
        <v>0</v>
      </c>
      <c r="T12" s="1">
        <f t="shared" si="0"/>
        <v>816038</v>
      </c>
      <c r="U12" t="s">
        <v>111</v>
      </c>
      <c r="V12" t="s">
        <v>112</v>
      </c>
      <c r="W12" s="1">
        <v>816038</v>
      </c>
      <c r="X12" s="1">
        <v>816038</v>
      </c>
      <c r="Y12" s="1">
        <v>816038</v>
      </c>
      <c r="Z12" s="1">
        <v>816038</v>
      </c>
      <c r="AA12" s="1">
        <v>816038</v>
      </c>
      <c r="AB12" t="s">
        <v>66</v>
      </c>
    </row>
    <row r="13" spans="1:28">
      <c r="A13" t="s">
        <v>113</v>
      </c>
      <c r="B13" t="s">
        <v>28</v>
      </c>
      <c r="C13">
        <v>47199</v>
      </c>
      <c r="D13">
        <v>504</v>
      </c>
      <c r="E13" t="s">
        <v>69</v>
      </c>
      <c r="F13">
        <v>2008</v>
      </c>
      <c r="G13" t="s">
        <v>114</v>
      </c>
      <c r="H13" t="s">
        <v>28</v>
      </c>
      <c r="I13" t="s">
        <v>115</v>
      </c>
      <c r="M13">
        <v>250</v>
      </c>
      <c r="N13" t="s">
        <v>54</v>
      </c>
      <c r="O13" t="s">
        <v>63</v>
      </c>
      <c r="Q13" s="1">
        <v>847690</v>
      </c>
      <c r="R13" s="1">
        <v>0</v>
      </c>
      <c r="S13" s="1">
        <v>0</v>
      </c>
      <c r="T13" s="1">
        <f t="shared" si="0"/>
        <v>847690</v>
      </c>
      <c r="U13" t="s">
        <v>82</v>
      </c>
      <c r="V13" t="s">
        <v>116</v>
      </c>
      <c r="W13" s="1">
        <v>847690</v>
      </c>
      <c r="X13" s="1">
        <v>847690</v>
      </c>
      <c r="Y13" s="1">
        <v>847690</v>
      </c>
      <c r="Z13" s="1">
        <v>847690</v>
      </c>
      <c r="AA13" s="1">
        <v>847690</v>
      </c>
      <c r="AB13" t="s">
        <v>66</v>
      </c>
    </row>
    <row r="14" spans="1:28">
      <c r="A14" t="s">
        <v>117</v>
      </c>
      <c r="B14" t="s">
        <v>28</v>
      </c>
      <c r="C14">
        <v>49834</v>
      </c>
      <c r="D14">
        <v>502</v>
      </c>
      <c r="E14" t="s">
        <v>69</v>
      </c>
      <c r="F14">
        <v>2009</v>
      </c>
      <c r="G14" t="s">
        <v>118</v>
      </c>
      <c r="H14" t="s">
        <v>28</v>
      </c>
      <c r="I14" t="s">
        <v>119</v>
      </c>
      <c r="M14">
        <v>150</v>
      </c>
      <c r="N14" t="s">
        <v>54</v>
      </c>
      <c r="O14" t="s">
        <v>120</v>
      </c>
      <c r="Q14" s="1">
        <v>694830</v>
      </c>
      <c r="R14" s="1">
        <v>0</v>
      </c>
      <c r="S14" s="1">
        <v>0</v>
      </c>
      <c r="T14" s="1">
        <f t="shared" si="0"/>
        <v>694830</v>
      </c>
      <c r="U14" t="s">
        <v>121</v>
      </c>
      <c r="V14" t="s">
        <v>122</v>
      </c>
      <c r="W14" s="1">
        <v>694830</v>
      </c>
      <c r="X14" s="1">
        <v>694830</v>
      </c>
      <c r="Y14" s="1">
        <v>694830</v>
      </c>
      <c r="Z14" s="1">
        <v>694830</v>
      </c>
      <c r="AA14" s="1">
        <v>694830</v>
      </c>
      <c r="AB14" t="s">
        <v>66</v>
      </c>
    </row>
    <row r="15" spans="1:28">
      <c r="A15" t="s">
        <v>123</v>
      </c>
      <c r="B15" t="s">
        <v>28</v>
      </c>
      <c r="C15">
        <v>51573</v>
      </c>
      <c r="D15">
        <v>500</v>
      </c>
      <c r="E15" t="s">
        <v>29</v>
      </c>
      <c r="F15">
        <v>2002</v>
      </c>
      <c r="G15" t="s">
        <v>124</v>
      </c>
      <c r="H15" t="s">
        <v>28</v>
      </c>
      <c r="I15" t="s">
        <v>125</v>
      </c>
      <c r="J15" t="s">
        <v>126</v>
      </c>
      <c r="K15" t="s">
        <v>127</v>
      </c>
      <c r="L15" t="s">
        <v>128</v>
      </c>
      <c r="M15">
        <v>100</v>
      </c>
      <c r="N15" t="s">
        <v>54</v>
      </c>
      <c r="O15" t="s">
        <v>63</v>
      </c>
      <c r="Q15" s="1">
        <v>694830</v>
      </c>
      <c r="R15" s="1">
        <v>0</v>
      </c>
      <c r="S15" s="1">
        <v>0</v>
      </c>
      <c r="T15" s="1">
        <f t="shared" si="0"/>
        <v>694830</v>
      </c>
      <c r="U15" t="s">
        <v>129</v>
      </c>
      <c r="V15" t="s">
        <v>130</v>
      </c>
      <c r="W15" s="1">
        <v>694830</v>
      </c>
      <c r="X15" s="1">
        <v>694830</v>
      </c>
      <c r="Y15" s="1">
        <v>694830</v>
      </c>
      <c r="Z15" s="1">
        <v>694830</v>
      </c>
      <c r="AA15" s="1">
        <v>694830</v>
      </c>
      <c r="AB15" t="s">
        <v>66</v>
      </c>
    </row>
    <row r="16" spans="1:28">
      <c r="A16" t="s">
        <v>131</v>
      </c>
      <c r="B16" t="s">
        <v>28</v>
      </c>
      <c r="C16">
        <v>54489</v>
      </c>
      <c r="D16">
        <v>498</v>
      </c>
      <c r="E16" t="s">
        <v>90</v>
      </c>
      <c r="F16">
        <v>2009</v>
      </c>
      <c r="G16" t="s">
        <v>132</v>
      </c>
      <c r="H16" t="s">
        <v>28</v>
      </c>
      <c r="I16" t="s">
        <v>133</v>
      </c>
      <c r="M16">
        <v>150</v>
      </c>
      <c r="N16" t="s">
        <v>54</v>
      </c>
      <c r="O16" t="s">
        <v>63</v>
      </c>
      <c r="Q16" s="1">
        <v>816038</v>
      </c>
      <c r="R16" s="1">
        <v>0</v>
      </c>
      <c r="S16" s="1">
        <v>0</v>
      </c>
      <c r="T16" s="1">
        <f t="shared" si="0"/>
        <v>816038</v>
      </c>
      <c r="U16" t="s">
        <v>111</v>
      </c>
      <c r="V16" t="s">
        <v>134</v>
      </c>
      <c r="W16" s="1">
        <v>816038</v>
      </c>
      <c r="X16" s="1">
        <v>816038</v>
      </c>
      <c r="Y16" s="1">
        <v>816038</v>
      </c>
      <c r="Z16" s="1">
        <v>816038</v>
      </c>
      <c r="AA16" s="1">
        <v>816038</v>
      </c>
      <c r="AB16" t="s">
        <v>66</v>
      </c>
    </row>
    <row r="17" spans="1:28">
      <c r="A17" t="s">
        <v>135</v>
      </c>
      <c r="B17" t="s">
        <v>28</v>
      </c>
      <c r="C17">
        <v>54956</v>
      </c>
      <c r="D17">
        <v>497</v>
      </c>
      <c r="E17" t="s">
        <v>79</v>
      </c>
      <c r="F17">
        <v>2006</v>
      </c>
      <c r="G17" t="s">
        <v>136</v>
      </c>
      <c r="H17" t="s">
        <v>28</v>
      </c>
      <c r="I17" t="s">
        <v>137</v>
      </c>
      <c r="J17" t="s">
        <v>138</v>
      </c>
      <c r="K17" t="s">
        <v>139</v>
      </c>
      <c r="L17" t="s">
        <v>140</v>
      </c>
      <c r="M17">
        <v>150</v>
      </c>
      <c r="N17" t="s">
        <v>54</v>
      </c>
      <c r="O17" t="s">
        <v>141</v>
      </c>
      <c r="Q17" s="1">
        <v>829000</v>
      </c>
      <c r="R17" s="1">
        <v>0</v>
      </c>
      <c r="S17" s="1">
        <v>0</v>
      </c>
      <c r="T17" s="1">
        <f t="shared" si="0"/>
        <v>829000</v>
      </c>
      <c r="U17" t="s">
        <v>64</v>
      </c>
      <c r="V17" t="s">
        <v>142</v>
      </c>
      <c r="W17" s="1">
        <v>829000</v>
      </c>
      <c r="X17" s="1">
        <v>829000</v>
      </c>
      <c r="Y17" s="1">
        <v>829000</v>
      </c>
      <c r="Z17" s="1">
        <v>829000</v>
      </c>
      <c r="AA17" s="1">
        <v>829000</v>
      </c>
      <c r="AB17" t="s">
        <v>66</v>
      </c>
    </row>
    <row r="18" spans="1:28">
      <c r="A18" t="s">
        <v>143</v>
      </c>
      <c r="B18" t="s">
        <v>68</v>
      </c>
      <c r="C18">
        <v>55581</v>
      </c>
      <c r="D18">
        <v>497</v>
      </c>
      <c r="E18" t="s">
        <v>90</v>
      </c>
      <c r="F18">
        <v>2013</v>
      </c>
      <c r="G18" t="s">
        <v>91</v>
      </c>
      <c r="H18" t="s">
        <v>68</v>
      </c>
      <c r="I18" t="s">
        <v>144</v>
      </c>
      <c r="J18" t="s">
        <v>145</v>
      </c>
      <c r="K18" t="s">
        <v>146</v>
      </c>
      <c r="L18" t="s">
        <v>147</v>
      </c>
      <c r="M18">
        <v>150</v>
      </c>
      <c r="N18" t="s">
        <v>54</v>
      </c>
      <c r="O18" t="s">
        <v>148</v>
      </c>
      <c r="Q18" s="1">
        <v>2215000</v>
      </c>
      <c r="R18" s="1">
        <v>0</v>
      </c>
      <c r="S18" s="1">
        <v>0</v>
      </c>
      <c r="T18" s="1">
        <f t="shared" si="0"/>
        <v>2215000</v>
      </c>
      <c r="U18" t="s">
        <v>75</v>
      </c>
      <c r="V18" t="s">
        <v>149</v>
      </c>
      <c r="W18" s="1">
        <v>2215000</v>
      </c>
      <c r="X18" s="1">
        <v>2215000</v>
      </c>
      <c r="Y18" s="1">
        <v>2215000</v>
      </c>
      <c r="Z18" s="1">
        <v>2215000</v>
      </c>
      <c r="AA18" s="1">
        <v>2215000</v>
      </c>
      <c r="AB18" t="s">
        <v>77</v>
      </c>
    </row>
    <row r="19" spans="1:28">
      <c r="A19" t="s">
        <v>150</v>
      </c>
      <c r="B19" t="s">
        <v>151</v>
      </c>
      <c r="C19">
        <v>56287</v>
      </c>
      <c r="D19">
        <v>496</v>
      </c>
      <c r="E19" t="s">
        <v>90</v>
      </c>
      <c r="F19">
        <v>2012</v>
      </c>
      <c r="G19" t="s">
        <v>152</v>
      </c>
      <c r="H19" t="s">
        <v>151</v>
      </c>
      <c r="I19" t="s">
        <v>153</v>
      </c>
      <c r="K19" t="s">
        <v>154</v>
      </c>
      <c r="L19" t="s">
        <v>155</v>
      </c>
      <c r="M19">
        <v>150</v>
      </c>
      <c r="N19" t="s">
        <v>54</v>
      </c>
      <c r="Q19" s="1">
        <v>745000</v>
      </c>
      <c r="R19" s="1">
        <v>0</v>
      </c>
      <c r="S19" s="1">
        <v>0</v>
      </c>
      <c r="T19" s="1">
        <f t="shared" si="0"/>
        <v>745000</v>
      </c>
      <c r="U19" t="s">
        <v>156</v>
      </c>
      <c r="V19" t="s">
        <v>157</v>
      </c>
      <c r="W19" s="1">
        <v>745000</v>
      </c>
      <c r="X19" s="1">
        <v>745000</v>
      </c>
      <c r="Y19" s="1">
        <v>745000</v>
      </c>
      <c r="Z19" s="1">
        <v>745000</v>
      </c>
      <c r="AA19" s="1">
        <v>745000</v>
      </c>
      <c r="AB19" t="s">
        <v>158</v>
      </c>
    </row>
    <row r="20" spans="1:28">
      <c r="A20" t="s">
        <v>159</v>
      </c>
      <c r="B20" t="s">
        <v>68</v>
      </c>
      <c r="C20">
        <v>58632</v>
      </c>
      <c r="D20">
        <v>494</v>
      </c>
      <c r="E20" t="s">
        <v>90</v>
      </c>
      <c r="F20">
        <v>1981</v>
      </c>
      <c r="G20" t="s">
        <v>91</v>
      </c>
      <c r="H20" t="s">
        <v>68</v>
      </c>
      <c r="I20" t="s">
        <v>160</v>
      </c>
      <c r="J20" t="s">
        <v>161</v>
      </c>
      <c r="L20" t="s">
        <v>162</v>
      </c>
      <c r="M20">
        <v>150</v>
      </c>
      <c r="N20" t="s">
        <v>54</v>
      </c>
      <c r="Q20" s="1">
        <v>1200117</v>
      </c>
      <c r="R20" s="1">
        <v>0</v>
      </c>
      <c r="S20" s="1">
        <v>0</v>
      </c>
      <c r="T20" s="1">
        <f t="shared" si="0"/>
        <v>1200117</v>
      </c>
      <c r="U20" t="s">
        <v>75</v>
      </c>
      <c r="V20" t="s">
        <v>105</v>
      </c>
      <c r="W20" s="1">
        <v>1200117</v>
      </c>
      <c r="X20" s="1">
        <v>1200117</v>
      </c>
      <c r="Y20" s="1">
        <v>1200117</v>
      </c>
      <c r="Z20" s="1">
        <v>1200117</v>
      </c>
      <c r="AA20" s="1">
        <v>1200117</v>
      </c>
      <c r="AB20" t="s">
        <v>77</v>
      </c>
    </row>
    <row r="21" spans="1:28">
      <c r="A21" t="s">
        <v>163</v>
      </c>
      <c r="B21" t="s">
        <v>28</v>
      </c>
      <c r="C21">
        <v>62384</v>
      </c>
      <c r="D21">
        <v>491</v>
      </c>
      <c r="E21" t="s">
        <v>90</v>
      </c>
      <c r="F21">
        <v>2013</v>
      </c>
      <c r="G21" t="s">
        <v>164</v>
      </c>
      <c r="H21" t="s">
        <v>28</v>
      </c>
      <c r="I21" t="s">
        <v>165</v>
      </c>
      <c r="N21" t="s">
        <v>54</v>
      </c>
      <c r="O21" t="s">
        <v>63</v>
      </c>
      <c r="P21" t="s">
        <v>36</v>
      </c>
      <c r="Q21" s="1">
        <v>806000</v>
      </c>
      <c r="R21" s="1">
        <v>0</v>
      </c>
      <c r="S21" s="1">
        <v>0</v>
      </c>
      <c r="T21" s="1">
        <f t="shared" si="0"/>
        <v>806000</v>
      </c>
      <c r="U21" t="s">
        <v>166</v>
      </c>
      <c r="V21" t="s">
        <v>167</v>
      </c>
      <c r="W21" s="1">
        <v>806000</v>
      </c>
      <c r="X21" s="1">
        <v>806000</v>
      </c>
      <c r="Y21" s="1">
        <v>806000</v>
      </c>
      <c r="Z21" s="1">
        <v>806000</v>
      </c>
      <c r="AA21" s="1">
        <v>806000</v>
      </c>
      <c r="AB21" t="s">
        <v>66</v>
      </c>
    </row>
    <row r="22" spans="1:28">
      <c r="A22" t="s">
        <v>168</v>
      </c>
      <c r="B22" t="s">
        <v>68</v>
      </c>
      <c r="C22">
        <v>62634</v>
      </c>
      <c r="D22">
        <v>491</v>
      </c>
      <c r="E22" t="s">
        <v>90</v>
      </c>
      <c r="F22">
        <v>1965</v>
      </c>
      <c r="G22" t="s">
        <v>169</v>
      </c>
      <c r="H22" t="s">
        <v>68</v>
      </c>
      <c r="I22" t="s">
        <v>170</v>
      </c>
      <c r="L22" t="s">
        <v>171</v>
      </c>
      <c r="M22">
        <v>245</v>
      </c>
      <c r="N22" t="s">
        <v>54</v>
      </c>
      <c r="O22" t="s">
        <v>172</v>
      </c>
      <c r="Q22" s="1">
        <v>1200117</v>
      </c>
      <c r="R22" s="1">
        <v>0</v>
      </c>
      <c r="S22" s="1">
        <v>0</v>
      </c>
      <c r="T22" s="1">
        <f t="shared" si="0"/>
        <v>1200117</v>
      </c>
      <c r="U22" t="s">
        <v>75</v>
      </c>
      <c r="V22" t="s">
        <v>173</v>
      </c>
      <c r="W22" s="1">
        <v>1200117</v>
      </c>
      <c r="X22" s="1">
        <v>1200117</v>
      </c>
      <c r="Y22" s="1">
        <v>1200117</v>
      </c>
      <c r="Z22" s="1">
        <v>1200117</v>
      </c>
      <c r="AA22" s="1">
        <v>1200117</v>
      </c>
      <c r="AB22" t="s">
        <v>77</v>
      </c>
    </row>
    <row r="23" spans="1:28">
      <c r="A23" t="s">
        <v>174</v>
      </c>
      <c r="B23" t="s">
        <v>68</v>
      </c>
      <c r="C23">
        <v>62905</v>
      </c>
      <c r="D23">
        <v>491</v>
      </c>
      <c r="E23" t="s">
        <v>175</v>
      </c>
      <c r="F23">
        <v>2002</v>
      </c>
      <c r="G23" t="s">
        <v>176</v>
      </c>
      <c r="H23" t="s">
        <v>68</v>
      </c>
      <c r="I23" t="s">
        <v>177</v>
      </c>
      <c r="J23" t="s">
        <v>178</v>
      </c>
      <c r="L23" t="s">
        <v>179</v>
      </c>
      <c r="M23">
        <v>250</v>
      </c>
      <c r="N23" t="s">
        <v>180</v>
      </c>
      <c r="O23" t="s">
        <v>181</v>
      </c>
      <c r="P23" t="s">
        <v>36</v>
      </c>
      <c r="Q23" s="1">
        <v>1200867</v>
      </c>
      <c r="R23" s="1">
        <v>0</v>
      </c>
      <c r="S23" s="1">
        <v>0</v>
      </c>
      <c r="T23" s="1">
        <f t="shared" si="0"/>
        <v>1200867</v>
      </c>
      <c r="U23" t="s">
        <v>182</v>
      </c>
      <c r="V23" t="s">
        <v>183</v>
      </c>
      <c r="W23" s="1">
        <v>1200867</v>
      </c>
      <c r="X23" s="1">
        <v>1200867</v>
      </c>
      <c r="Y23" s="1">
        <v>1200867</v>
      </c>
      <c r="Z23" s="1">
        <v>1200867</v>
      </c>
      <c r="AA23" s="1">
        <v>1200867</v>
      </c>
      <c r="AB23" t="s">
        <v>184</v>
      </c>
    </row>
    <row r="24" spans="1:28">
      <c r="A24" t="s">
        <v>185</v>
      </c>
      <c r="B24" t="s">
        <v>68</v>
      </c>
      <c r="C24">
        <v>66832</v>
      </c>
      <c r="D24">
        <v>488</v>
      </c>
      <c r="E24" t="s">
        <v>90</v>
      </c>
      <c r="F24">
        <v>1997</v>
      </c>
      <c r="G24" t="s">
        <v>186</v>
      </c>
      <c r="H24" t="s">
        <v>68</v>
      </c>
      <c r="I24" t="s">
        <v>187</v>
      </c>
      <c r="L24" t="s">
        <v>188</v>
      </c>
      <c r="M24">
        <v>250</v>
      </c>
      <c r="N24" t="s">
        <v>189</v>
      </c>
      <c r="O24" t="s">
        <v>190</v>
      </c>
      <c r="P24" t="s">
        <v>36</v>
      </c>
      <c r="Q24" s="1">
        <v>1200867</v>
      </c>
      <c r="R24" s="1">
        <v>0</v>
      </c>
      <c r="S24" s="1">
        <v>0</v>
      </c>
      <c r="T24" s="1">
        <f t="shared" si="0"/>
        <v>1200867</v>
      </c>
      <c r="U24" t="s">
        <v>182</v>
      </c>
      <c r="V24" t="s">
        <v>191</v>
      </c>
      <c r="W24" s="1">
        <v>1200867</v>
      </c>
      <c r="X24" s="1">
        <v>1200867</v>
      </c>
      <c r="Y24" s="1">
        <v>1200867</v>
      </c>
      <c r="Z24" s="1">
        <v>1200867</v>
      </c>
      <c r="AA24" s="1">
        <v>1200867</v>
      </c>
      <c r="AB24" t="s">
        <v>192</v>
      </c>
    </row>
    <row r="25" spans="1:28">
      <c r="A25" t="s">
        <v>193</v>
      </c>
      <c r="B25" t="s">
        <v>28</v>
      </c>
      <c r="C25">
        <v>67382</v>
      </c>
      <c r="D25">
        <v>487</v>
      </c>
      <c r="E25" t="s">
        <v>90</v>
      </c>
      <c r="F25">
        <v>2014</v>
      </c>
      <c r="G25" t="s">
        <v>194</v>
      </c>
      <c r="H25" t="s">
        <v>28</v>
      </c>
      <c r="I25" t="s">
        <v>195</v>
      </c>
      <c r="J25" t="s">
        <v>196</v>
      </c>
      <c r="K25" t="s">
        <v>197</v>
      </c>
      <c r="L25" t="s">
        <v>198</v>
      </c>
      <c r="M25">
        <v>150</v>
      </c>
      <c r="N25" t="s">
        <v>54</v>
      </c>
      <c r="O25" t="s">
        <v>199</v>
      </c>
      <c r="P25" t="s">
        <v>36</v>
      </c>
      <c r="Q25" s="1">
        <v>705805</v>
      </c>
      <c r="R25" s="1">
        <v>0</v>
      </c>
      <c r="S25" s="1">
        <v>0</v>
      </c>
      <c r="T25" s="1">
        <f t="shared" si="0"/>
        <v>705805</v>
      </c>
      <c r="U25" t="s">
        <v>111</v>
      </c>
      <c r="V25" t="s">
        <v>200</v>
      </c>
      <c r="W25" s="1">
        <v>705805</v>
      </c>
      <c r="X25" s="1">
        <v>705805</v>
      </c>
      <c r="Y25" s="1">
        <v>705805</v>
      </c>
      <c r="Z25" s="1">
        <v>705805</v>
      </c>
      <c r="AA25" s="1">
        <v>705805</v>
      </c>
      <c r="AB25" t="s">
        <v>66</v>
      </c>
    </row>
    <row r="26" spans="1:28">
      <c r="A26" t="s">
        <v>201</v>
      </c>
      <c r="B26" t="s">
        <v>28</v>
      </c>
      <c r="C26">
        <v>72225</v>
      </c>
      <c r="D26">
        <v>484</v>
      </c>
      <c r="E26" t="s">
        <v>90</v>
      </c>
      <c r="F26">
        <v>2006</v>
      </c>
      <c r="G26" t="s">
        <v>202</v>
      </c>
      <c r="H26" t="s">
        <v>28</v>
      </c>
      <c r="I26" t="s">
        <v>203</v>
      </c>
      <c r="M26">
        <v>150</v>
      </c>
      <c r="N26" t="s">
        <v>54</v>
      </c>
      <c r="O26" t="s">
        <v>204</v>
      </c>
      <c r="Q26" s="1">
        <v>787780</v>
      </c>
      <c r="R26" s="1">
        <v>0</v>
      </c>
      <c r="S26" s="1">
        <v>0</v>
      </c>
      <c r="T26" s="1">
        <f t="shared" si="0"/>
        <v>787780</v>
      </c>
      <c r="U26" t="s">
        <v>205</v>
      </c>
      <c r="V26" t="s">
        <v>206</v>
      </c>
      <c r="W26" s="1">
        <v>787780</v>
      </c>
      <c r="X26" s="1">
        <v>787780</v>
      </c>
      <c r="Y26" s="1">
        <v>787780</v>
      </c>
      <c r="Z26" s="1">
        <v>787780</v>
      </c>
      <c r="AA26" s="1">
        <v>787780</v>
      </c>
      <c r="AB26" t="s">
        <v>66</v>
      </c>
    </row>
    <row r="27" spans="1:28">
      <c r="A27" t="s">
        <v>207</v>
      </c>
      <c r="B27" t="s">
        <v>68</v>
      </c>
      <c r="C27">
        <v>73399</v>
      </c>
      <c r="D27">
        <v>483</v>
      </c>
      <c r="E27" t="s">
        <v>90</v>
      </c>
      <c r="F27">
        <v>2006</v>
      </c>
      <c r="G27" t="s">
        <v>208</v>
      </c>
      <c r="H27" t="s">
        <v>68</v>
      </c>
      <c r="I27" t="s">
        <v>209</v>
      </c>
      <c r="M27">
        <v>150</v>
      </c>
      <c r="N27" t="s">
        <v>210</v>
      </c>
      <c r="O27" t="s">
        <v>211</v>
      </c>
      <c r="P27" t="s">
        <v>36</v>
      </c>
      <c r="Q27" s="1">
        <v>1200867</v>
      </c>
      <c r="R27" s="1">
        <v>0</v>
      </c>
      <c r="S27" s="1">
        <v>0</v>
      </c>
      <c r="T27" s="1">
        <f t="shared" si="0"/>
        <v>1200867</v>
      </c>
      <c r="U27" t="s">
        <v>182</v>
      </c>
      <c r="V27" t="s">
        <v>212</v>
      </c>
      <c r="W27" s="1">
        <v>1200867</v>
      </c>
      <c r="X27" s="1">
        <v>1200867</v>
      </c>
      <c r="Y27" s="1">
        <v>1200867</v>
      </c>
      <c r="Z27" s="1">
        <v>1200867</v>
      </c>
      <c r="AA27" s="1">
        <v>1200867</v>
      </c>
      <c r="AB27" t="s">
        <v>192</v>
      </c>
    </row>
    <row r="28" spans="1:28">
      <c r="A28" t="s">
        <v>213</v>
      </c>
      <c r="B28" t="s">
        <v>28</v>
      </c>
      <c r="C28">
        <v>74284</v>
      </c>
      <c r="D28">
        <v>482</v>
      </c>
      <c r="E28" t="s">
        <v>90</v>
      </c>
      <c r="F28">
        <v>2012</v>
      </c>
      <c r="G28" t="s">
        <v>214</v>
      </c>
      <c r="H28" t="s">
        <v>28</v>
      </c>
      <c r="I28" t="s">
        <v>215</v>
      </c>
      <c r="M28">
        <v>150</v>
      </c>
      <c r="N28" t="s">
        <v>54</v>
      </c>
      <c r="O28" t="s">
        <v>63</v>
      </c>
      <c r="Q28" s="1">
        <v>1850000</v>
      </c>
      <c r="R28" s="1">
        <v>0</v>
      </c>
      <c r="S28" s="1">
        <v>0</v>
      </c>
      <c r="T28" s="1">
        <f t="shared" si="0"/>
        <v>1850000</v>
      </c>
      <c r="U28" t="s">
        <v>216</v>
      </c>
      <c r="V28" t="s">
        <v>217</v>
      </c>
      <c r="W28" s="1">
        <v>1850000</v>
      </c>
      <c r="X28" s="1">
        <v>1850000</v>
      </c>
      <c r="Y28" s="1">
        <v>1850000</v>
      </c>
      <c r="Z28" s="1">
        <v>1850000</v>
      </c>
      <c r="AA28" s="1">
        <v>1850000</v>
      </c>
      <c r="AB28" t="s">
        <v>218</v>
      </c>
    </row>
    <row r="29" spans="1:28">
      <c r="A29" t="s">
        <v>219</v>
      </c>
      <c r="B29" t="s">
        <v>220</v>
      </c>
      <c r="C29">
        <v>74953</v>
      </c>
      <c r="D29">
        <v>482</v>
      </c>
      <c r="E29" t="s">
        <v>90</v>
      </c>
      <c r="F29">
        <v>2012</v>
      </c>
      <c r="G29" t="s">
        <v>221</v>
      </c>
      <c r="H29" t="s">
        <v>220</v>
      </c>
      <c r="I29" t="s">
        <v>222</v>
      </c>
      <c r="J29" t="s">
        <v>223</v>
      </c>
      <c r="K29" t="s">
        <v>224</v>
      </c>
      <c r="L29" t="s">
        <v>225</v>
      </c>
      <c r="M29">
        <v>150</v>
      </c>
      <c r="N29" t="s">
        <v>189</v>
      </c>
      <c r="O29" t="s">
        <v>226</v>
      </c>
      <c r="P29" t="s">
        <v>36</v>
      </c>
      <c r="Q29" s="1">
        <v>1300000</v>
      </c>
      <c r="R29" s="1">
        <v>0</v>
      </c>
      <c r="S29" s="1">
        <v>0</v>
      </c>
      <c r="T29" s="1">
        <f t="shared" si="0"/>
        <v>1300000</v>
      </c>
      <c r="U29" t="s">
        <v>227</v>
      </c>
      <c r="V29" t="s">
        <v>228</v>
      </c>
      <c r="W29" s="1">
        <v>1300000</v>
      </c>
      <c r="X29" s="1">
        <v>1300000</v>
      </c>
      <c r="Y29" s="1">
        <v>1300000</v>
      </c>
      <c r="Z29" s="1">
        <v>1300000</v>
      </c>
      <c r="AA29" s="1">
        <v>1300000</v>
      </c>
      <c r="AB29" t="s">
        <v>229</v>
      </c>
    </row>
    <row r="30" spans="1:28">
      <c r="A30" t="s">
        <v>230</v>
      </c>
      <c r="B30" t="s">
        <v>28</v>
      </c>
      <c r="C30">
        <v>75560</v>
      </c>
      <c r="D30">
        <v>481</v>
      </c>
      <c r="E30" t="s">
        <v>90</v>
      </c>
      <c r="F30">
        <v>2024</v>
      </c>
      <c r="G30" t="s">
        <v>231</v>
      </c>
      <c r="H30" t="s">
        <v>28</v>
      </c>
      <c r="I30" t="s">
        <v>232</v>
      </c>
      <c r="J30" t="s">
        <v>233</v>
      </c>
      <c r="K30" t="s">
        <v>234</v>
      </c>
      <c r="L30" t="s">
        <v>235</v>
      </c>
      <c r="M30">
        <v>100</v>
      </c>
      <c r="N30" t="s">
        <v>54</v>
      </c>
      <c r="O30" t="s">
        <v>236</v>
      </c>
      <c r="Q30" s="1">
        <v>1113870</v>
      </c>
      <c r="R30" s="1">
        <v>0</v>
      </c>
      <c r="S30" s="1">
        <v>0</v>
      </c>
      <c r="T30" s="1">
        <f t="shared" si="0"/>
        <v>1113870</v>
      </c>
      <c r="U30" t="s">
        <v>237</v>
      </c>
      <c r="V30" t="s">
        <v>238</v>
      </c>
      <c r="W30" s="1">
        <v>1113870</v>
      </c>
      <c r="X30" s="1">
        <v>1113870</v>
      </c>
      <c r="Y30" s="1">
        <v>1113870</v>
      </c>
      <c r="Z30" s="1">
        <v>1113870</v>
      </c>
      <c r="AA30" s="1">
        <v>1113870</v>
      </c>
      <c r="AB30" t="s">
        <v>66</v>
      </c>
    </row>
    <row r="31" spans="1:28">
      <c r="A31" t="s">
        <v>239</v>
      </c>
      <c r="B31" t="s">
        <v>68</v>
      </c>
      <c r="C31">
        <v>75588</v>
      </c>
      <c r="D31">
        <v>481</v>
      </c>
      <c r="E31" t="s">
        <v>240</v>
      </c>
      <c r="F31">
        <v>2016</v>
      </c>
      <c r="G31" t="s">
        <v>241</v>
      </c>
      <c r="H31" t="s">
        <v>68</v>
      </c>
      <c r="I31" t="s">
        <v>242</v>
      </c>
      <c r="J31" t="s">
        <v>243</v>
      </c>
      <c r="L31" t="s">
        <v>244</v>
      </c>
      <c r="M31">
        <v>250</v>
      </c>
      <c r="N31" t="s">
        <v>245</v>
      </c>
      <c r="O31" t="s">
        <v>246</v>
      </c>
      <c r="P31" t="s">
        <v>36</v>
      </c>
      <c r="Q31" s="1">
        <v>1200867</v>
      </c>
      <c r="R31" s="1">
        <v>0</v>
      </c>
      <c r="S31" s="1">
        <v>0</v>
      </c>
      <c r="T31" s="1">
        <f t="shared" si="0"/>
        <v>1200867</v>
      </c>
      <c r="U31" t="s">
        <v>182</v>
      </c>
      <c r="V31" t="s">
        <v>247</v>
      </c>
      <c r="W31" s="1">
        <v>1200867</v>
      </c>
      <c r="X31" s="1">
        <v>1200867</v>
      </c>
      <c r="Y31" s="1">
        <v>1200867</v>
      </c>
      <c r="Z31" s="1">
        <v>1200867</v>
      </c>
      <c r="AA31" s="1">
        <v>1200867</v>
      </c>
      <c r="AB31" t="s">
        <v>192</v>
      </c>
    </row>
    <row r="32" spans="1:28">
      <c r="A32" t="s">
        <v>248</v>
      </c>
      <c r="B32" t="s">
        <v>68</v>
      </c>
      <c r="C32">
        <v>75865</v>
      </c>
      <c r="D32">
        <v>481</v>
      </c>
      <c r="E32" t="s">
        <v>249</v>
      </c>
      <c r="F32">
        <v>2013</v>
      </c>
      <c r="G32" t="s">
        <v>250</v>
      </c>
      <c r="H32" t="s">
        <v>68</v>
      </c>
      <c r="I32" t="s">
        <v>251</v>
      </c>
      <c r="M32">
        <v>150</v>
      </c>
      <c r="N32" t="s">
        <v>189</v>
      </c>
      <c r="O32" t="s">
        <v>252</v>
      </c>
      <c r="P32" t="s">
        <v>36</v>
      </c>
      <c r="Q32" s="1">
        <v>1200867</v>
      </c>
      <c r="R32" s="1">
        <v>0</v>
      </c>
      <c r="S32" s="1">
        <v>0</v>
      </c>
      <c r="T32" s="1">
        <f t="shared" si="0"/>
        <v>1200867</v>
      </c>
      <c r="U32" t="s">
        <v>182</v>
      </c>
      <c r="V32" t="s">
        <v>253</v>
      </c>
      <c r="W32" s="1">
        <v>1200867</v>
      </c>
      <c r="X32" s="1">
        <v>1200867</v>
      </c>
      <c r="Y32" s="1">
        <v>1200867</v>
      </c>
      <c r="Z32" s="1">
        <v>1200867</v>
      </c>
      <c r="AA32" s="1">
        <v>1200867</v>
      </c>
      <c r="AB32" t="s">
        <v>192</v>
      </c>
    </row>
    <row r="33" spans="1:28">
      <c r="A33" t="s">
        <v>254</v>
      </c>
      <c r="B33" t="s">
        <v>28</v>
      </c>
      <c r="C33">
        <v>76138</v>
      </c>
      <c r="D33">
        <v>481</v>
      </c>
      <c r="E33" t="s">
        <v>69</v>
      </c>
      <c r="F33">
        <v>2014</v>
      </c>
      <c r="G33" t="s">
        <v>255</v>
      </c>
      <c r="H33" t="s">
        <v>28</v>
      </c>
      <c r="I33" t="s">
        <v>256</v>
      </c>
      <c r="J33" t="s">
        <v>257</v>
      </c>
      <c r="M33">
        <v>150</v>
      </c>
      <c r="N33" t="s">
        <v>54</v>
      </c>
      <c r="O33" t="s">
        <v>258</v>
      </c>
      <c r="Q33" s="1">
        <v>816038</v>
      </c>
      <c r="R33" s="1">
        <v>0</v>
      </c>
      <c r="S33" s="1">
        <v>0</v>
      </c>
      <c r="T33" s="1">
        <f t="shared" si="0"/>
        <v>816038</v>
      </c>
      <c r="U33" t="s">
        <v>259</v>
      </c>
      <c r="V33" t="s">
        <v>260</v>
      </c>
      <c r="W33" s="1">
        <v>816038</v>
      </c>
      <c r="X33" s="1">
        <v>816038</v>
      </c>
      <c r="Y33" s="1">
        <v>816038</v>
      </c>
      <c r="Z33" s="1">
        <v>816038</v>
      </c>
      <c r="AA33" s="1">
        <v>816038</v>
      </c>
      <c r="AB33" t="s">
        <v>66</v>
      </c>
    </row>
    <row r="34" spans="1:28">
      <c r="A34" t="s">
        <v>261</v>
      </c>
      <c r="B34" t="s">
        <v>151</v>
      </c>
      <c r="C34">
        <v>77897</v>
      </c>
      <c r="D34">
        <v>480</v>
      </c>
      <c r="E34" t="s">
        <v>90</v>
      </c>
      <c r="F34">
        <v>2021</v>
      </c>
      <c r="G34" t="s">
        <v>152</v>
      </c>
      <c r="H34" t="s">
        <v>151</v>
      </c>
      <c r="I34" t="s">
        <v>262</v>
      </c>
      <c r="M34">
        <v>150</v>
      </c>
      <c r="N34" t="s">
        <v>54</v>
      </c>
      <c r="Q34" s="1">
        <v>802000</v>
      </c>
      <c r="R34" s="1">
        <v>0</v>
      </c>
      <c r="S34" s="1">
        <v>0</v>
      </c>
      <c r="T34" s="1">
        <f t="shared" si="0"/>
        <v>802000</v>
      </c>
      <c r="U34" t="s">
        <v>156</v>
      </c>
      <c r="V34" t="s">
        <v>263</v>
      </c>
      <c r="W34" s="1">
        <v>802000</v>
      </c>
      <c r="X34" s="1">
        <v>802000</v>
      </c>
      <c r="Y34" s="1">
        <v>802000</v>
      </c>
      <c r="Z34" s="1">
        <v>802000</v>
      </c>
      <c r="AA34" s="1">
        <v>802000</v>
      </c>
      <c r="AB34" t="s">
        <v>158</v>
      </c>
    </row>
    <row r="35" spans="1:28">
      <c r="A35" t="s">
        <v>264</v>
      </c>
      <c r="B35" t="s">
        <v>68</v>
      </c>
      <c r="C35">
        <v>82414</v>
      </c>
      <c r="D35">
        <v>476</v>
      </c>
      <c r="E35" t="s">
        <v>265</v>
      </c>
      <c r="F35">
        <v>1963</v>
      </c>
      <c r="G35" t="s">
        <v>266</v>
      </c>
      <c r="H35" t="s">
        <v>68</v>
      </c>
      <c r="I35" t="s">
        <v>267</v>
      </c>
      <c r="J35" t="s">
        <v>268</v>
      </c>
      <c r="K35" t="s">
        <v>269</v>
      </c>
      <c r="L35" t="s">
        <v>270</v>
      </c>
      <c r="M35">
        <v>150</v>
      </c>
      <c r="N35" t="s">
        <v>189</v>
      </c>
      <c r="O35" t="s">
        <v>271</v>
      </c>
      <c r="P35" t="s">
        <v>36</v>
      </c>
      <c r="Q35" s="1">
        <v>1200867</v>
      </c>
      <c r="R35" s="1">
        <v>0</v>
      </c>
      <c r="S35" s="1">
        <v>0</v>
      </c>
      <c r="T35" s="1">
        <f t="shared" si="0"/>
        <v>1200867</v>
      </c>
      <c r="U35" t="s">
        <v>182</v>
      </c>
      <c r="V35" t="s">
        <v>272</v>
      </c>
      <c r="W35" s="1">
        <v>1200867</v>
      </c>
      <c r="X35" s="1">
        <v>1200867</v>
      </c>
      <c r="Y35" s="1">
        <v>1200867</v>
      </c>
      <c r="Z35" s="1">
        <v>1200867</v>
      </c>
      <c r="AA35" s="1">
        <v>1200867</v>
      </c>
      <c r="AB35" t="s">
        <v>273</v>
      </c>
    </row>
    <row r="36" spans="1:28">
      <c r="A36" t="s">
        <v>274</v>
      </c>
      <c r="B36" t="s">
        <v>68</v>
      </c>
      <c r="C36">
        <v>82567</v>
      </c>
      <c r="D36">
        <v>476</v>
      </c>
      <c r="E36" t="s">
        <v>90</v>
      </c>
      <c r="F36">
        <v>2017</v>
      </c>
      <c r="G36" t="s">
        <v>275</v>
      </c>
      <c r="H36" t="s">
        <v>68</v>
      </c>
      <c r="I36" t="s">
        <v>276</v>
      </c>
      <c r="M36">
        <v>200</v>
      </c>
      <c r="N36" t="s">
        <v>189</v>
      </c>
      <c r="O36" t="s">
        <v>277</v>
      </c>
      <c r="P36" t="s">
        <v>36</v>
      </c>
      <c r="Q36" s="1">
        <v>1200867</v>
      </c>
      <c r="R36" s="1">
        <v>0</v>
      </c>
      <c r="S36" s="1">
        <v>0</v>
      </c>
      <c r="T36" s="1">
        <f t="shared" si="0"/>
        <v>1200867</v>
      </c>
      <c r="U36" t="s">
        <v>182</v>
      </c>
      <c r="V36" t="s">
        <v>278</v>
      </c>
      <c r="W36" s="1">
        <v>1200867</v>
      </c>
      <c r="X36" s="1">
        <v>1200867</v>
      </c>
      <c r="Y36" s="1">
        <v>1200867</v>
      </c>
      <c r="Z36" s="1">
        <v>1200867</v>
      </c>
      <c r="AA36" s="1">
        <v>1200867</v>
      </c>
      <c r="AB36" t="s">
        <v>192</v>
      </c>
    </row>
    <row r="37" spans="1:28">
      <c r="A37" t="s">
        <v>279</v>
      </c>
      <c r="B37" t="s">
        <v>68</v>
      </c>
      <c r="C37">
        <v>85450</v>
      </c>
      <c r="D37">
        <v>474</v>
      </c>
      <c r="E37" t="s">
        <v>90</v>
      </c>
      <c r="F37">
        <v>2022</v>
      </c>
      <c r="G37" t="s">
        <v>280</v>
      </c>
      <c r="H37" t="s">
        <v>68</v>
      </c>
      <c r="I37" t="s">
        <v>281</v>
      </c>
      <c r="L37" t="s">
        <v>282</v>
      </c>
      <c r="M37">
        <v>150</v>
      </c>
      <c r="N37" t="s">
        <v>54</v>
      </c>
      <c r="O37" t="s">
        <v>283</v>
      </c>
      <c r="P37" t="s">
        <v>36</v>
      </c>
      <c r="Q37" s="1">
        <v>1200867</v>
      </c>
      <c r="R37" s="1">
        <v>0</v>
      </c>
      <c r="S37" s="1">
        <v>0</v>
      </c>
      <c r="T37" s="1">
        <f t="shared" si="0"/>
        <v>1200867</v>
      </c>
      <c r="U37" t="s">
        <v>182</v>
      </c>
      <c r="V37" t="s">
        <v>284</v>
      </c>
      <c r="W37" s="1">
        <v>1200867</v>
      </c>
      <c r="X37" s="1">
        <v>1200867</v>
      </c>
      <c r="Y37" s="1">
        <v>1200867</v>
      </c>
      <c r="Z37" s="1">
        <v>1200867</v>
      </c>
      <c r="AA37" s="1">
        <v>1200867</v>
      </c>
      <c r="AB37" t="s">
        <v>192</v>
      </c>
    </row>
    <row r="38" spans="1:28">
      <c r="A38" t="s">
        <v>285</v>
      </c>
      <c r="B38" t="s">
        <v>220</v>
      </c>
      <c r="C38">
        <v>88406</v>
      </c>
      <c r="D38">
        <v>472</v>
      </c>
      <c r="E38" t="s">
        <v>90</v>
      </c>
      <c r="F38">
        <v>1984</v>
      </c>
      <c r="G38" t="s">
        <v>221</v>
      </c>
      <c r="H38" t="s">
        <v>220</v>
      </c>
      <c r="I38" t="s">
        <v>286</v>
      </c>
      <c r="J38" t="s">
        <v>287</v>
      </c>
      <c r="L38" t="s">
        <v>288</v>
      </c>
      <c r="M38">
        <v>150</v>
      </c>
      <c r="N38" t="s">
        <v>289</v>
      </c>
      <c r="O38" t="s">
        <v>290</v>
      </c>
      <c r="P38" t="s">
        <v>36</v>
      </c>
      <c r="Q38" s="1">
        <v>1250000</v>
      </c>
      <c r="R38" s="1">
        <v>0</v>
      </c>
      <c r="S38" s="1">
        <v>0</v>
      </c>
      <c r="T38" s="1">
        <f t="shared" si="0"/>
        <v>1250000</v>
      </c>
      <c r="U38" t="s">
        <v>291</v>
      </c>
      <c r="V38" t="s">
        <v>292</v>
      </c>
      <c r="W38" s="1">
        <v>1250000</v>
      </c>
      <c r="X38" s="1">
        <v>1250000</v>
      </c>
      <c r="Y38" s="1">
        <v>1250000</v>
      </c>
      <c r="Z38" s="1">
        <v>1250000</v>
      </c>
      <c r="AA38" s="1">
        <v>1250000</v>
      </c>
      <c r="AB38" t="s">
        <v>293</v>
      </c>
    </row>
    <row r="39" spans="1:28">
      <c r="A39" t="s">
        <v>294</v>
      </c>
      <c r="B39" t="s">
        <v>68</v>
      </c>
      <c r="C39">
        <v>89091</v>
      </c>
      <c r="D39">
        <v>472</v>
      </c>
      <c r="E39" t="s">
        <v>90</v>
      </c>
      <c r="F39">
        <v>2002</v>
      </c>
      <c r="G39" t="s">
        <v>295</v>
      </c>
      <c r="H39" t="s">
        <v>68</v>
      </c>
      <c r="I39" t="s">
        <v>296</v>
      </c>
      <c r="J39" t="s">
        <v>297</v>
      </c>
      <c r="M39">
        <v>250</v>
      </c>
      <c r="N39" t="s">
        <v>298</v>
      </c>
      <c r="O39" t="s">
        <v>299</v>
      </c>
      <c r="P39" t="s">
        <v>36</v>
      </c>
      <c r="Q39" s="1">
        <v>1200867</v>
      </c>
      <c r="R39" s="1">
        <v>0</v>
      </c>
      <c r="S39" s="1">
        <v>0</v>
      </c>
      <c r="T39" s="1">
        <f t="shared" si="0"/>
        <v>1200867</v>
      </c>
      <c r="U39" t="s">
        <v>182</v>
      </c>
      <c r="V39" t="s">
        <v>300</v>
      </c>
      <c r="W39" s="1">
        <v>1200867</v>
      </c>
      <c r="X39" s="1">
        <v>1200867</v>
      </c>
      <c r="Y39" s="1">
        <v>1200867</v>
      </c>
      <c r="Z39" s="1">
        <v>1200867</v>
      </c>
      <c r="AA39" s="1">
        <v>1200867</v>
      </c>
      <c r="AB39" t="s">
        <v>192</v>
      </c>
    </row>
    <row r="40" spans="1:28">
      <c r="A40" t="s">
        <v>301</v>
      </c>
      <c r="B40" t="s">
        <v>220</v>
      </c>
      <c r="C40">
        <v>89719</v>
      </c>
      <c r="D40">
        <v>471</v>
      </c>
      <c r="E40" t="s">
        <v>90</v>
      </c>
      <c r="F40">
        <v>2019</v>
      </c>
      <c r="G40" t="s">
        <v>302</v>
      </c>
      <c r="H40" t="s">
        <v>220</v>
      </c>
      <c r="I40" t="s">
        <v>303</v>
      </c>
      <c r="L40" t="s">
        <v>304</v>
      </c>
      <c r="M40">
        <v>150</v>
      </c>
      <c r="N40" t="s">
        <v>189</v>
      </c>
      <c r="O40" t="s">
        <v>305</v>
      </c>
      <c r="P40" t="s">
        <v>36</v>
      </c>
      <c r="Q40" s="1">
        <v>1200000</v>
      </c>
      <c r="R40" s="1">
        <v>0</v>
      </c>
      <c r="S40" s="1">
        <v>0</v>
      </c>
      <c r="T40" s="1">
        <f t="shared" si="0"/>
        <v>1200000</v>
      </c>
      <c r="U40" t="s">
        <v>291</v>
      </c>
      <c r="V40" t="s">
        <v>306</v>
      </c>
      <c r="W40" s="1">
        <v>1200000</v>
      </c>
      <c r="X40" s="1">
        <v>1200000</v>
      </c>
      <c r="Y40" s="1">
        <v>1200000</v>
      </c>
      <c r="Z40" s="1">
        <v>1200000</v>
      </c>
      <c r="AA40" s="1">
        <v>1200000</v>
      </c>
      <c r="AB40" t="s">
        <v>307</v>
      </c>
    </row>
    <row r="41" spans="1:28">
      <c r="A41" t="s">
        <v>308</v>
      </c>
      <c r="B41" t="s">
        <v>220</v>
      </c>
      <c r="C41">
        <v>91633</v>
      </c>
      <c r="D41">
        <v>470</v>
      </c>
      <c r="E41" t="s">
        <v>90</v>
      </c>
      <c r="F41">
        <v>2013</v>
      </c>
      <c r="G41" t="s">
        <v>309</v>
      </c>
      <c r="H41" t="s">
        <v>220</v>
      </c>
      <c r="I41" t="s">
        <v>310</v>
      </c>
      <c r="J41" t="s">
        <v>311</v>
      </c>
      <c r="K41" t="s">
        <v>312</v>
      </c>
      <c r="L41" t="s">
        <v>313</v>
      </c>
      <c r="M41">
        <v>150</v>
      </c>
      <c r="N41" t="s">
        <v>314</v>
      </c>
      <c r="O41" t="s">
        <v>305</v>
      </c>
      <c r="P41" t="s">
        <v>36</v>
      </c>
      <c r="Q41" s="1">
        <v>1300000</v>
      </c>
      <c r="R41" s="1">
        <v>0</v>
      </c>
      <c r="S41" s="1">
        <v>0</v>
      </c>
      <c r="T41" s="1">
        <f t="shared" si="0"/>
        <v>1300000</v>
      </c>
      <c r="U41" t="s">
        <v>291</v>
      </c>
      <c r="V41" t="s">
        <v>315</v>
      </c>
      <c r="W41" s="1">
        <v>1300000</v>
      </c>
      <c r="X41" s="1">
        <v>1300000</v>
      </c>
      <c r="Y41" s="1">
        <v>1300000</v>
      </c>
      <c r="Z41" s="1">
        <v>1300000</v>
      </c>
      <c r="AA41" s="1">
        <v>1300000</v>
      </c>
      <c r="AB41" t="s">
        <v>307</v>
      </c>
    </row>
    <row r="42" spans="1:28">
      <c r="A42" t="s">
        <v>316</v>
      </c>
      <c r="B42" t="s">
        <v>220</v>
      </c>
      <c r="C42">
        <v>92154</v>
      </c>
      <c r="D42">
        <v>470</v>
      </c>
      <c r="E42" t="s">
        <v>90</v>
      </c>
      <c r="F42">
        <v>2005</v>
      </c>
      <c r="G42" t="s">
        <v>317</v>
      </c>
      <c r="H42" t="s">
        <v>220</v>
      </c>
      <c r="I42" t="s">
        <v>318</v>
      </c>
      <c r="L42" t="s">
        <v>319</v>
      </c>
      <c r="M42">
        <v>150</v>
      </c>
      <c r="N42" t="s">
        <v>189</v>
      </c>
      <c r="O42" t="s">
        <v>305</v>
      </c>
      <c r="P42" t="s">
        <v>36</v>
      </c>
      <c r="Q42" s="1">
        <v>1155000</v>
      </c>
      <c r="R42" s="1">
        <v>0</v>
      </c>
      <c r="S42" s="1">
        <v>0</v>
      </c>
      <c r="T42" s="1">
        <f t="shared" si="0"/>
        <v>1155000</v>
      </c>
      <c r="U42" t="s">
        <v>291</v>
      </c>
      <c r="V42" t="s">
        <v>315</v>
      </c>
      <c r="W42" s="1">
        <v>1155000</v>
      </c>
      <c r="X42" s="1">
        <v>1155000</v>
      </c>
      <c r="Y42" s="1">
        <v>1155000</v>
      </c>
      <c r="Z42" s="1">
        <v>1155000</v>
      </c>
      <c r="AA42" s="1">
        <v>1155000</v>
      </c>
      <c r="AB42" t="s">
        <v>307</v>
      </c>
    </row>
    <row r="43" spans="1:28">
      <c r="A43" t="s">
        <v>320</v>
      </c>
      <c r="B43" t="s">
        <v>68</v>
      </c>
      <c r="C43">
        <v>95359</v>
      </c>
      <c r="D43">
        <v>467</v>
      </c>
      <c r="E43" t="s">
        <v>90</v>
      </c>
      <c r="F43">
        <v>1999</v>
      </c>
      <c r="G43" t="s">
        <v>321</v>
      </c>
      <c r="H43" t="s">
        <v>68</v>
      </c>
      <c r="I43" t="s">
        <v>322</v>
      </c>
      <c r="M43">
        <v>150</v>
      </c>
      <c r="N43" t="s">
        <v>323</v>
      </c>
      <c r="O43" t="s">
        <v>324</v>
      </c>
      <c r="P43" t="s">
        <v>36</v>
      </c>
      <c r="Q43" s="1">
        <v>1200867</v>
      </c>
      <c r="R43" s="1">
        <v>0</v>
      </c>
      <c r="S43" s="1">
        <v>0</v>
      </c>
      <c r="T43" s="1">
        <f t="shared" si="0"/>
        <v>1200867</v>
      </c>
      <c r="U43" t="s">
        <v>325</v>
      </c>
      <c r="V43" t="s">
        <v>326</v>
      </c>
      <c r="W43" s="1">
        <v>1200867</v>
      </c>
      <c r="X43" s="1">
        <v>1200867</v>
      </c>
      <c r="Y43" s="1">
        <v>1200867</v>
      </c>
      <c r="Z43" s="1">
        <v>1200867</v>
      </c>
      <c r="AA43" s="1">
        <v>1200867</v>
      </c>
      <c r="AB43" t="s">
        <v>192</v>
      </c>
    </row>
    <row r="44" spans="1:28">
      <c r="A44" t="s">
        <v>327</v>
      </c>
      <c r="B44" t="s">
        <v>220</v>
      </c>
      <c r="C44">
        <v>95727</v>
      </c>
      <c r="D44">
        <v>467</v>
      </c>
      <c r="E44" t="s">
        <v>69</v>
      </c>
      <c r="F44">
        <v>2005</v>
      </c>
      <c r="G44" t="s">
        <v>328</v>
      </c>
      <c r="H44" t="s">
        <v>220</v>
      </c>
      <c r="I44" t="s">
        <v>329</v>
      </c>
      <c r="J44" t="s">
        <v>330</v>
      </c>
      <c r="L44" t="s">
        <v>331</v>
      </c>
      <c r="M44">
        <v>150</v>
      </c>
      <c r="N44" t="s">
        <v>189</v>
      </c>
      <c r="O44" t="s">
        <v>305</v>
      </c>
      <c r="P44" t="s">
        <v>36</v>
      </c>
      <c r="Q44" s="1">
        <v>1200000</v>
      </c>
      <c r="R44" s="1">
        <v>0</v>
      </c>
      <c r="S44" s="1">
        <v>0</v>
      </c>
      <c r="T44" s="1">
        <f t="shared" si="0"/>
        <v>1200000</v>
      </c>
      <c r="U44" t="s">
        <v>332</v>
      </c>
      <c r="V44" t="s">
        <v>315</v>
      </c>
      <c r="W44" s="1">
        <v>1200000</v>
      </c>
      <c r="X44" s="1">
        <v>1200000</v>
      </c>
      <c r="Y44" s="1">
        <v>1200000</v>
      </c>
      <c r="Z44" s="1">
        <v>1200000</v>
      </c>
      <c r="AA44" s="1">
        <v>1200000</v>
      </c>
      <c r="AB44" t="s">
        <v>333</v>
      </c>
    </row>
    <row r="45" spans="1:28">
      <c r="A45" t="s">
        <v>334</v>
      </c>
      <c r="B45" t="s">
        <v>68</v>
      </c>
      <c r="C45">
        <v>98147</v>
      </c>
      <c r="D45">
        <v>465</v>
      </c>
      <c r="E45" t="s">
        <v>90</v>
      </c>
      <c r="F45">
        <v>2001</v>
      </c>
      <c r="G45" t="s">
        <v>335</v>
      </c>
      <c r="H45" t="s">
        <v>68</v>
      </c>
      <c r="I45" t="s">
        <v>336</v>
      </c>
      <c r="M45">
        <v>200</v>
      </c>
      <c r="N45" t="s">
        <v>189</v>
      </c>
      <c r="O45" t="s">
        <v>324</v>
      </c>
      <c r="P45" t="s">
        <v>36</v>
      </c>
      <c r="Q45" s="1">
        <v>1200867</v>
      </c>
      <c r="R45" s="1">
        <v>0</v>
      </c>
      <c r="S45" s="1">
        <v>0</v>
      </c>
      <c r="T45" s="1">
        <f t="shared" si="0"/>
        <v>1200867</v>
      </c>
      <c r="U45" t="s">
        <v>182</v>
      </c>
      <c r="V45" t="s">
        <v>300</v>
      </c>
      <c r="W45" s="1">
        <v>1200867</v>
      </c>
      <c r="X45" s="1">
        <v>1200867</v>
      </c>
      <c r="Y45" s="1">
        <v>1200867</v>
      </c>
      <c r="Z45" s="1">
        <v>1200867</v>
      </c>
      <c r="AA45" s="1">
        <v>1200867</v>
      </c>
      <c r="AB45" t="s">
        <v>192</v>
      </c>
    </row>
    <row r="46" spans="1:28">
      <c r="A46" t="s">
        <v>337</v>
      </c>
      <c r="B46" t="s">
        <v>68</v>
      </c>
      <c r="C46">
        <v>101411</v>
      </c>
      <c r="D46">
        <v>463</v>
      </c>
      <c r="E46" t="s">
        <v>90</v>
      </c>
      <c r="F46">
        <v>2024</v>
      </c>
      <c r="G46" t="s">
        <v>295</v>
      </c>
      <c r="H46" t="s">
        <v>68</v>
      </c>
      <c r="I46" t="s">
        <v>338</v>
      </c>
      <c r="L46" t="s">
        <v>339</v>
      </c>
      <c r="M46">
        <v>100</v>
      </c>
      <c r="N46" t="s">
        <v>54</v>
      </c>
      <c r="O46" t="s">
        <v>340</v>
      </c>
      <c r="P46" t="s">
        <v>36</v>
      </c>
      <c r="Q46" s="1">
        <v>691070</v>
      </c>
      <c r="R46" s="1">
        <v>0</v>
      </c>
      <c r="S46" s="1">
        <v>0</v>
      </c>
      <c r="T46" s="1">
        <f t="shared" si="0"/>
        <v>691070</v>
      </c>
      <c r="U46" t="s">
        <v>341</v>
      </c>
      <c r="V46" t="s">
        <v>342</v>
      </c>
      <c r="W46" s="1">
        <v>691070</v>
      </c>
      <c r="X46" s="1">
        <v>691070</v>
      </c>
      <c r="Y46" s="1">
        <v>691070</v>
      </c>
      <c r="Z46" s="1">
        <v>691070</v>
      </c>
      <c r="AA46" s="1">
        <v>691070</v>
      </c>
      <c r="AB46" t="s">
        <v>192</v>
      </c>
    </row>
    <row r="47" spans="1:28">
      <c r="A47" t="s">
        <v>343</v>
      </c>
      <c r="B47" t="s">
        <v>68</v>
      </c>
      <c r="C47">
        <v>102349</v>
      </c>
      <c r="D47">
        <v>463</v>
      </c>
      <c r="E47" t="s">
        <v>90</v>
      </c>
      <c r="F47">
        <v>2012</v>
      </c>
      <c r="G47" t="s">
        <v>344</v>
      </c>
      <c r="H47" t="s">
        <v>68</v>
      </c>
      <c r="I47" t="s">
        <v>345</v>
      </c>
      <c r="L47" t="s">
        <v>346</v>
      </c>
      <c r="M47">
        <v>150</v>
      </c>
      <c r="N47" t="s">
        <v>189</v>
      </c>
      <c r="O47" t="s">
        <v>347</v>
      </c>
      <c r="P47" t="s">
        <v>36</v>
      </c>
      <c r="Q47" s="1">
        <v>1200867</v>
      </c>
      <c r="R47" s="1">
        <v>0</v>
      </c>
      <c r="S47" s="1">
        <v>0</v>
      </c>
      <c r="T47" s="1">
        <f t="shared" si="0"/>
        <v>1200867</v>
      </c>
      <c r="U47" t="s">
        <v>182</v>
      </c>
      <c r="V47" t="s">
        <v>348</v>
      </c>
      <c r="W47" s="1">
        <v>1200867</v>
      </c>
      <c r="X47" s="1">
        <v>1200867</v>
      </c>
      <c r="Y47" s="1">
        <v>1200867</v>
      </c>
      <c r="Z47" s="1">
        <v>1200867</v>
      </c>
      <c r="AA47" s="1">
        <v>1200867</v>
      </c>
      <c r="AB47" t="s">
        <v>192</v>
      </c>
    </row>
    <row r="48" spans="1:28">
      <c r="A48" t="s">
        <v>349</v>
      </c>
      <c r="B48" t="s">
        <v>68</v>
      </c>
      <c r="C48">
        <v>103870</v>
      </c>
      <c r="D48">
        <v>462</v>
      </c>
      <c r="E48" t="s">
        <v>79</v>
      </c>
      <c r="F48">
        <v>2023</v>
      </c>
      <c r="G48" t="s">
        <v>350</v>
      </c>
      <c r="H48" t="s">
        <v>68</v>
      </c>
      <c r="I48" t="s">
        <v>351</v>
      </c>
      <c r="L48" t="s">
        <v>352</v>
      </c>
      <c r="M48">
        <v>150</v>
      </c>
      <c r="N48" t="s">
        <v>54</v>
      </c>
      <c r="O48" t="s">
        <v>353</v>
      </c>
      <c r="P48" t="s">
        <v>36</v>
      </c>
      <c r="Q48" s="1">
        <v>1200867</v>
      </c>
      <c r="R48" s="1">
        <v>0</v>
      </c>
      <c r="S48" s="1">
        <v>0</v>
      </c>
      <c r="T48" s="1">
        <f t="shared" si="0"/>
        <v>1200867</v>
      </c>
      <c r="U48" t="s">
        <v>182</v>
      </c>
      <c r="V48" t="s">
        <v>354</v>
      </c>
      <c r="W48" s="1">
        <v>1200867</v>
      </c>
      <c r="X48" s="1">
        <v>1200867</v>
      </c>
      <c r="Y48" s="1">
        <v>1200867</v>
      </c>
      <c r="Z48" s="1">
        <v>1200867</v>
      </c>
      <c r="AA48" s="1">
        <v>1200867</v>
      </c>
      <c r="AB48" t="s">
        <v>192</v>
      </c>
    </row>
    <row r="49" spans="1:28">
      <c r="A49" t="s">
        <v>355</v>
      </c>
      <c r="B49" t="s">
        <v>68</v>
      </c>
      <c r="C49">
        <v>105378</v>
      </c>
      <c r="D49">
        <v>461</v>
      </c>
      <c r="E49" t="s">
        <v>356</v>
      </c>
      <c r="F49">
        <v>1979</v>
      </c>
      <c r="G49" t="s">
        <v>357</v>
      </c>
      <c r="H49" t="s">
        <v>68</v>
      </c>
      <c r="I49" t="s">
        <v>358</v>
      </c>
      <c r="M49">
        <v>150</v>
      </c>
      <c r="N49" t="s">
        <v>359</v>
      </c>
      <c r="O49" t="s">
        <v>360</v>
      </c>
      <c r="P49" t="s">
        <v>36</v>
      </c>
      <c r="Q49" s="1">
        <v>2600000</v>
      </c>
      <c r="R49" s="1">
        <v>0</v>
      </c>
      <c r="S49" s="1">
        <v>0</v>
      </c>
      <c r="T49" s="1">
        <f t="shared" si="0"/>
        <v>2600000</v>
      </c>
      <c r="U49" t="s">
        <v>361</v>
      </c>
      <c r="V49" t="s">
        <v>362</v>
      </c>
      <c r="W49" s="1">
        <v>2600000</v>
      </c>
      <c r="X49" s="1">
        <v>2600000</v>
      </c>
      <c r="Y49" s="1">
        <v>2600000</v>
      </c>
      <c r="Z49" s="1">
        <v>2600000</v>
      </c>
      <c r="AA49" s="1">
        <v>2600000</v>
      </c>
      <c r="AB49" t="s">
        <v>363</v>
      </c>
    </row>
    <row r="50" spans="1:28">
      <c r="A50" t="s">
        <v>364</v>
      </c>
      <c r="B50" t="s">
        <v>151</v>
      </c>
      <c r="C50">
        <v>105644</v>
      </c>
      <c r="D50">
        <v>460</v>
      </c>
      <c r="E50" t="s">
        <v>90</v>
      </c>
      <c r="F50">
        <v>2024</v>
      </c>
      <c r="G50" t="s">
        <v>365</v>
      </c>
      <c r="H50" t="s">
        <v>151</v>
      </c>
      <c r="I50" t="s">
        <v>366</v>
      </c>
      <c r="L50" t="s">
        <v>367</v>
      </c>
      <c r="M50">
        <v>100</v>
      </c>
      <c r="N50" t="s">
        <v>54</v>
      </c>
      <c r="Q50" s="1">
        <v>745000</v>
      </c>
      <c r="R50" s="1">
        <v>0</v>
      </c>
      <c r="S50" s="1">
        <v>0</v>
      </c>
      <c r="T50" s="1">
        <f t="shared" si="0"/>
        <v>745000</v>
      </c>
      <c r="U50" t="s">
        <v>156</v>
      </c>
      <c r="V50" t="s">
        <v>368</v>
      </c>
      <c r="W50" s="1">
        <v>745000</v>
      </c>
      <c r="X50" s="1">
        <v>745000</v>
      </c>
      <c r="Y50" s="1">
        <v>745000</v>
      </c>
      <c r="Z50" s="1">
        <v>745000</v>
      </c>
      <c r="AA50" s="1">
        <v>745000</v>
      </c>
      <c r="AB50" t="s">
        <v>158</v>
      </c>
    </row>
    <row r="51" spans="1:28">
      <c r="A51" t="s">
        <v>369</v>
      </c>
      <c r="B51" t="s">
        <v>220</v>
      </c>
      <c r="C51">
        <v>106547</v>
      </c>
      <c r="D51">
        <v>460</v>
      </c>
      <c r="E51" t="s">
        <v>90</v>
      </c>
      <c r="F51">
        <v>1999</v>
      </c>
      <c r="G51" t="s">
        <v>370</v>
      </c>
      <c r="H51" t="s">
        <v>220</v>
      </c>
      <c r="I51" t="s">
        <v>371</v>
      </c>
      <c r="J51" t="s">
        <v>372</v>
      </c>
      <c r="K51" t="s">
        <v>373</v>
      </c>
      <c r="M51">
        <v>150</v>
      </c>
      <c r="N51" t="s">
        <v>189</v>
      </c>
      <c r="O51" t="s">
        <v>305</v>
      </c>
      <c r="P51" t="s">
        <v>36</v>
      </c>
      <c r="Q51" s="1">
        <v>1250000</v>
      </c>
      <c r="R51" s="1">
        <v>0</v>
      </c>
      <c r="S51" s="1">
        <v>0</v>
      </c>
      <c r="T51" s="1">
        <f t="shared" si="0"/>
        <v>1250000</v>
      </c>
      <c r="U51" t="s">
        <v>291</v>
      </c>
      <c r="V51" t="s">
        <v>315</v>
      </c>
      <c r="W51" s="1">
        <v>1250000</v>
      </c>
      <c r="X51" s="1">
        <v>1250000</v>
      </c>
      <c r="Y51" s="1">
        <v>1250000</v>
      </c>
      <c r="Z51" s="1">
        <v>1250000</v>
      </c>
      <c r="AA51" s="1">
        <v>1250000</v>
      </c>
      <c r="AB51" t="s">
        <v>307</v>
      </c>
    </row>
    <row r="52" spans="1:28">
      <c r="A52" t="s">
        <v>374</v>
      </c>
      <c r="B52" t="s">
        <v>68</v>
      </c>
      <c r="C52">
        <v>108184</v>
      </c>
      <c r="D52">
        <v>459</v>
      </c>
      <c r="E52" t="s">
        <v>90</v>
      </c>
      <c r="F52">
        <v>2013</v>
      </c>
      <c r="G52" t="s">
        <v>375</v>
      </c>
      <c r="H52" t="s">
        <v>68</v>
      </c>
      <c r="I52" t="s">
        <v>376</v>
      </c>
      <c r="J52" t="s">
        <v>377</v>
      </c>
      <c r="L52" t="s">
        <v>378</v>
      </c>
      <c r="M52">
        <v>250</v>
      </c>
      <c r="N52" t="s">
        <v>379</v>
      </c>
      <c r="O52" t="s">
        <v>380</v>
      </c>
      <c r="P52" t="s">
        <v>36</v>
      </c>
      <c r="Q52" s="1">
        <v>1200867</v>
      </c>
      <c r="R52" s="1">
        <v>0</v>
      </c>
      <c r="S52" s="1">
        <v>0</v>
      </c>
      <c r="T52" s="1">
        <f t="shared" si="0"/>
        <v>1200867</v>
      </c>
      <c r="U52" t="s">
        <v>182</v>
      </c>
      <c r="V52" t="s">
        <v>381</v>
      </c>
      <c r="W52" s="1">
        <v>1200867</v>
      </c>
      <c r="X52" s="1">
        <v>1200867</v>
      </c>
      <c r="Y52" s="1">
        <v>1200867</v>
      </c>
      <c r="Z52" s="1">
        <v>1200867</v>
      </c>
      <c r="AA52" s="1">
        <v>1200867</v>
      </c>
      <c r="AB52" t="s">
        <v>192</v>
      </c>
    </row>
    <row r="53" spans="1:28">
      <c r="A53" t="s">
        <v>382</v>
      </c>
      <c r="B53" t="s">
        <v>68</v>
      </c>
      <c r="C53">
        <v>109071</v>
      </c>
      <c r="D53">
        <v>458</v>
      </c>
      <c r="E53" t="s">
        <v>90</v>
      </c>
      <c r="F53">
        <v>2016</v>
      </c>
      <c r="G53" t="s">
        <v>176</v>
      </c>
      <c r="H53" t="s">
        <v>68</v>
      </c>
      <c r="I53" t="s">
        <v>383</v>
      </c>
      <c r="L53" t="s">
        <v>384</v>
      </c>
      <c r="M53">
        <v>150</v>
      </c>
      <c r="N53" t="s">
        <v>189</v>
      </c>
      <c r="O53" t="s">
        <v>385</v>
      </c>
      <c r="P53" t="s">
        <v>36</v>
      </c>
      <c r="Q53" s="1">
        <v>3791778</v>
      </c>
      <c r="R53" s="1">
        <v>0</v>
      </c>
      <c r="S53" s="1">
        <v>0</v>
      </c>
      <c r="T53" s="1">
        <f t="shared" si="0"/>
        <v>3791778</v>
      </c>
      <c r="U53" t="s">
        <v>386</v>
      </c>
      <c r="V53" t="s">
        <v>387</v>
      </c>
      <c r="W53" s="1">
        <v>3791778</v>
      </c>
      <c r="X53" s="1">
        <v>3791778</v>
      </c>
      <c r="Y53" s="1">
        <v>3791778</v>
      </c>
      <c r="Z53" s="1">
        <v>3791778</v>
      </c>
      <c r="AA53" s="1">
        <v>3791778</v>
      </c>
      <c r="AB53" t="s">
        <v>192</v>
      </c>
    </row>
    <row r="54" spans="1:28">
      <c r="A54" t="s">
        <v>388</v>
      </c>
      <c r="B54" t="s">
        <v>220</v>
      </c>
      <c r="C54">
        <v>111791</v>
      </c>
      <c r="D54">
        <v>456</v>
      </c>
      <c r="E54" t="s">
        <v>90</v>
      </c>
      <c r="F54">
        <v>1998</v>
      </c>
      <c r="G54" t="s">
        <v>389</v>
      </c>
      <c r="H54" t="s">
        <v>220</v>
      </c>
      <c r="I54" t="s">
        <v>390</v>
      </c>
      <c r="J54" t="s">
        <v>391</v>
      </c>
      <c r="K54" t="s">
        <v>392</v>
      </c>
      <c r="L54" t="s">
        <v>393</v>
      </c>
      <c r="M54">
        <v>150</v>
      </c>
      <c r="N54" t="s">
        <v>189</v>
      </c>
      <c r="O54" t="s">
        <v>305</v>
      </c>
      <c r="P54" t="s">
        <v>36</v>
      </c>
      <c r="Q54" s="1">
        <v>1200000</v>
      </c>
      <c r="R54" s="1">
        <v>0</v>
      </c>
      <c r="S54" s="1">
        <v>0</v>
      </c>
      <c r="T54" s="1">
        <f t="shared" si="0"/>
        <v>1200000</v>
      </c>
      <c r="U54" t="s">
        <v>291</v>
      </c>
      <c r="V54" t="s">
        <v>315</v>
      </c>
      <c r="W54" s="1">
        <v>1200000</v>
      </c>
      <c r="X54" s="1">
        <v>1200000</v>
      </c>
      <c r="Y54" s="1">
        <v>1200000</v>
      </c>
      <c r="Z54" s="1">
        <v>1200000</v>
      </c>
      <c r="AA54" s="1">
        <v>1200000</v>
      </c>
      <c r="AB54" t="s">
        <v>307</v>
      </c>
    </row>
    <row r="55" spans="1:28">
      <c r="A55" t="s">
        <v>394</v>
      </c>
      <c r="B55" t="s">
        <v>220</v>
      </c>
      <c r="C55">
        <v>112920</v>
      </c>
      <c r="D55">
        <v>456</v>
      </c>
      <c r="E55" t="s">
        <v>90</v>
      </c>
      <c r="F55">
        <v>2002</v>
      </c>
      <c r="G55" t="s">
        <v>395</v>
      </c>
      <c r="H55" t="s">
        <v>220</v>
      </c>
      <c r="I55" t="s">
        <v>396</v>
      </c>
      <c r="L55" t="s">
        <v>397</v>
      </c>
      <c r="M55">
        <v>150</v>
      </c>
      <c r="N55" t="s">
        <v>189</v>
      </c>
      <c r="O55" t="s">
        <v>398</v>
      </c>
      <c r="P55" t="s">
        <v>36</v>
      </c>
      <c r="Q55" s="1">
        <v>1155000</v>
      </c>
      <c r="R55" s="1">
        <v>0</v>
      </c>
      <c r="S55" s="1">
        <v>0</v>
      </c>
      <c r="T55" s="1">
        <f t="shared" si="0"/>
        <v>1155000</v>
      </c>
      <c r="U55" t="s">
        <v>399</v>
      </c>
      <c r="V55" t="s">
        <v>400</v>
      </c>
      <c r="W55" s="1">
        <v>1155000</v>
      </c>
      <c r="X55" s="1">
        <v>1155000</v>
      </c>
      <c r="Y55" s="1">
        <v>1155000</v>
      </c>
      <c r="Z55" s="1">
        <v>1155000</v>
      </c>
      <c r="AA55" s="1">
        <v>1155000</v>
      </c>
      <c r="AB55" t="s">
        <v>401</v>
      </c>
    </row>
    <row r="56" spans="1:28">
      <c r="A56" t="s">
        <v>402</v>
      </c>
      <c r="B56" t="s">
        <v>220</v>
      </c>
      <c r="C56">
        <v>115427</v>
      </c>
      <c r="D56">
        <v>454</v>
      </c>
      <c r="E56" t="s">
        <v>90</v>
      </c>
      <c r="F56">
        <v>2016</v>
      </c>
      <c r="G56" t="s">
        <v>403</v>
      </c>
      <c r="H56" t="s">
        <v>220</v>
      </c>
      <c r="I56" t="s">
        <v>404</v>
      </c>
      <c r="L56" t="s">
        <v>405</v>
      </c>
      <c r="M56">
        <v>150</v>
      </c>
      <c r="N56" t="s">
        <v>189</v>
      </c>
      <c r="O56" t="s">
        <v>406</v>
      </c>
      <c r="P56" t="s">
        <v>36</v>
      </c>
      <c r="Q56" s="1">
        <v>1155000</v>
      </c>
      <c r="R56" s="1">
        <v>0</v>
      </c>
      <c r="S56" s="1">
        <v>0</v>
      </c>
      <c r="T56" s="1">
        <f t="shared" si="0"/>
        <v>1155000</v>
      </c>
      <c r="U56" t="s">
        <v>291</v>
      </c>
      <c r="V56" t="s">
        <v>315</v>
      </c>
      <c r="W56" s="1">
        <v>1155000</v>
      </c>
      <c r="X56" s="1">
        <v>1155000</v>
      </c>
      <c r="Y56" s="1">
        <v>1155000</v>
      </c>
      <c r="Z56" s="1">
        <v>1155000</v>
      </c>
      <c r="AA56" s="1">
        <v>1155000</v>
      </c>
      <c r="AB56" t="s">
        <v>307</v>
      </c>
    </row>
    <row r="57" spans="1:28">
      <c r="A57" t="s">
        <v>407</v>
      </c>
      <c r="B57" t="s">
        <v>68</v>
      </c>
      <c r="C57">
        <v>117899</v>
      </c>
      <c r="D57">
        <v>453</v>
      </c>
      <c r="E57" t="s">
        <v>90</v>
      </c>
      <c r="F57">
        <v>1999</v>
      </c>
      <c r="G57" t="s">
        <v>408</v>
      </c>
      <c r="H57" t="s">
        <v>68</v>
      </c>
      <c r="I57" t="s">
        <v>409</v>
      </c>
      <c r="M57">
        <v>150</v>
      </c>
      <c r="N57" t="s">
        <v>410</v>
      </c>
      <c r="O57" t="s">
        <v>411</v>
      </c>
      <c r="P57" t="s">
        <v>36</v>
      </c>
      <c r="Q57" s="1">
        <v>1200867</v>
      </c>
      <c r="R57" s="1">
        <v>0</v>
      </c>
      <c r="S57" s="1">
        <v>0</v>
      </c>
      <c r="T57" s="1">
        <f t="shared" si="0"/>
        <v>1200867</v>
      </c>
      <c r="U57" t="s">
        <v>182</v>
      </c>
      <c r="V57" t="s">
        <v>300</v>
      </c>
      <c r="W57" s="1">
        <v>1200867</v>
      </c>
      <c r="X57" s="1">
        <v>1200867</v>
      </c>
      <c r="Y57" s="1">
        <v>1200867</v>
      </c>
      <c r="Z57" s="1">
        <v>1200867</v>
      </c>
      <c r="AA57" s="1">
        <v>1200867</v>
      </c>
      <c r="AB57" t="s">
        <v>192</v>
      </c>
    </row>
    <row r="58" spans="1:28">
      <c r="A58" t="s">
        <v>412</v>
      </c>
      <c r="B58" t="s">
        <v>220</v>
      </c>
      <c r="C58">
        <v>119298</v>
      </c>
      <c r="D58">
        <v>452</v>
      </c>
      <c r="E58" t="s">
        <v>90</v>
      </c>
      <c r="F58">
        <v>2001</v>
      </c>
      <c r="G58" t="s">
        <v>413</v>
      </c>
      <c r="H58" t="s">
        <v>220</v>
      </c>
      <c r="I58" t="s">
        <v>414</v>
      </c>
      <c r="J58" t="s">
        <v>415</v>
      </c>
      <c r="K58" t="s">
        <v>416</v>
      </c>
      <c r="L58" t="s">
        <v>417</v>
      </c>
      <c r="M58">
        <v>150</v>
      </c>
      <c r="N58" t="s">
        <v>189</v>
      </c>
      <c r="O58" t="s">
        <v>305</v>
      </c>
      <c r="P58" t="s">
        <v>36</v>
      </c>
      <c r="Q58" s="1">
        <v>1155000</v>
      </c>
      <c r="R58" s="1">
        <v>0</v>
      </c>
      <c r="S58" s="1">
        <v>0</v>
      </c>
      <c r="T58" s="1">
        <f t="shared" si="0"/>
        <v>1155000</v>
      </c>
      <c r="U58" t="s">
        <v>291</v>
      </c>
      <c r="V58" t="s">
        <v>315</v>
      </c>
      <c r="W58" s="1">
        <v>1155000</v>
      </c>
      <c r="X58" s="1">
        <v>1155000</v>
      </c>
      <c r="Y58" s="1">
        <v>1155000</v>
      </c>
      <c r="Z58" s="1">
        <v>1155000</v>
      </c>
      <c r="AA58" s="1">
        <v>1155000</v>
      </c>
      <c r="AB58" t="s">
        <v>307</v>
      </c>
    </row>
    <row r="59" spans="1:28">
      <c r="A59" t="s">
        <v>418</v>
      </c>
      <c r="B59" t="s">
        <v>220</v>
      </c>
      <c r="C59">
        <v>121662</v>
      </c>
      <c r="D59">
        <v>450</v>
      </c>
      <c r="E59" t="s">
        <v>90</v>
      </c>
      <c r="F59">
        <v>2016</v>
      </c>
      <c r="G59" t="s">
        <v>419</v>
      </c>
      <c r="H59" t="s">
        <v>220</v>
      </c>
      <c r="I59" t="s">
        <v>420</v>
      </c>
      <c r="L59" t="s">
        <v>421</v>
      </c>
      <c r="M59">
        <v>150</v>
      </c>
      <c r="N59" t="s">
        <v>189</v>
      </c>
      <c r="O59" t="s">
        <v>305</v>
      </c>
      <c r="P59" t="s">
        <v>36</v>
      </c>
      <c r="Q59" s="1">
        <v>1200000</v>
      </c>
      <c r="R59" s="1">
        <v>0</v>
      </c>
      <c r="S59" s="1">
        <v>0</v>
      </c>
      <c r="T59" s="1">
        <f t="shared" si="0"/>
        <v>1200000</v>
      </c>
      <c r="U59" t="s">
        <v>291</v>
      </c>
      <c r="V59" t="s">
        <v>422</v>
      </c>
      <c r="W59" s="1">
        <v>1200000</v>
      </c>
      <c r="X59" s="1">
        <v>1200000</v>
      </c>
      <c r="Y59" s="1">
        <v>1200000</v>
      </c>
      <c r="Z59" s="1">
        <v>1200000</v>
      </c>
      <c r="AA59" s="1">
        <v>1200000</v>
      </c>
      <c r="AB59" t="s">
        <v>307</v>
      </c>
    </row>
    <row r="60" spans="1:28">
      <c r="A60" t="s">
        <v>423</v>
      </c>
      <c r="B60" t="s">
        <v>151</v>
      </c>
      <c r="C60">
        <v>122070</v>
      </c>
      <c r="D60">
        <v>450</v>
      </c>
      <c r="E60" t="s">
        <v>90</v>
      </c>
      <c r="F60">
        <v>2024</v>
      </c>
      <c r="G60" t="s">
        <v>424</v>
      </c>
      <c r="H60" t="s">
        <v>151</v>
      </c>
      <c r="I60" t="s">
        <v>425</v>
      </c>
      <c r="J60" t="s">
        <v>426</v>
      </c>
      <c r="K60" t="s">
        <v>427</v>
      </c>
      <c r="L60" t="s">
        <v>428</v>
      </c>
      <c r="M60">
        <v>150</v>
      </c>
      <c r="N60" t="s">
        <v>54</v>
      </c>
      <c r="O60" t="s">
        <v>429</v>
      </c>
      <c r="Q60" s="1">
        <v>745000</v>
      </c>
      <c r="R60" s="1">
        <v>0</v>
      </c>
      <c r="S60" s="1">
        <v>0</v>
      </c>
      <c r="T60" s="1">
        <f t="shared" si="0"/>
        <v>745000</v>
      </c>
      <c r="U60" t="s">
        <v>156</v>
      </c>
      <c r="V60" t="s">
        <v>430</v>
      </c>
      <c r="W60" s="1">
        <v>745000</v>
      </c>
      <c r="X60" s="1">
        <v>745000</v>
      </c>
      <c r="Y60" s="1">
        <v>745000</v>
      </c>
      <c r="Z60" s="1">
        <v>745000</v>
      </c>
      <c r="AA60" s="1">
        <v>745000</v>
      </c>
      <c r="AB60" t="s">
        <v>158</v>
      </c>
    </row>
    <row r="61" spans="1:28">
      <c r="A61" t="s">
        <v>431</v>
      </c>
      <c r="B61" t="s">
        <v>220</v>
      </c>
      <c r="C61">
        <v>124954</v>
      </c>
      <c r="D61">
        <v>448</v>
      </c>
      <c r="E61" t="s">
        <v>90</v>
      </c>
      <c r="F61">
        <v>2016</v>
      </c>
      <c r="G61" t="s">
        <v>432</v>
      </c>
      <c r="H61" t="s">
        <v>220</v>
      </c>
      <c r="I61" t="s">
        <v>433</v>
      </c>
      <c r="M61">
        <v>150</v>
      </c>
      <c r="N61" t="s">
        <v>189</v>
      </c>
      <c r="O61" t="s">
        <v>305</v>
      </c>
      <c r="P61" t="s">
        <v>36</v>
      </c>
      <c r="Q61" s="1">
        <v>1155000</v>
      </c>
      <c r="R61" s="1">
        <v>0</v>
      </c>
      <c r="S61" s="1">
        <v>0</v>
      </c>
      <c r="T61" s="1">
        <f t="shared" si="0"/>
        <v>1155000</v>
      </c>
      <c r="U61" t="s">
        <v>291</v>
      </c>
      <c r="V61" t="s">
        <v>315</v>
      </c>
      <c r="W61" s="1">
        <v>1155000</v>
      </c>
      <c r="X61" s="1">
        <v>1155000</v>
      </c>
      <c r="Y61" s="1">
        <v>1155000</v>
      </c>
      <c r="Z61" s="1">
        <v>1155000</v>
      </c>
      <c r="AA61" s="1">
        <v>1155000</v>
      </c>
      <c r="AB61" t="s">
        <v>307</v>
      </c>
    </row>
    <row r="62" spans="1:28">
      <c r="A62" t="s">
        <v>434</v>
      </c>
      <c r="B62" t="s">
        <v>435</v>
      </c>
      <c r="C62">
        <v>132349</v>
      </c>
      <c r="D62">
        <v>444</v>
      </c>
      <c r="E62" t="s">
        <v>90</v>
      </c>
      <c r="F62">
        <v>2015</v>
      </c>
      <c r="G62" t="s">
        <v>436</v>
      </c>
      <c r="H62" t="s">
        <v>435</v>
      </c>
      <c r="I62" t="s">
        <v>437</v>
      </c>
      <c r="J62" t="s">
        <v>438</v>
      </c>
      <c r="K62" t="s">
        <v>439</v>
      </c>
      <c r="L62" t="s">
        <v>440</v>
      </c>
      <c r="M62">
        <v>150</v>
      </c>
      <c r="N62" t="s">
        <v>189</v>
      </c>
      <c r="O62" t="s">
        <v>441</v>
      </c>
      <c r="P62" t="s">
        <v>36</v>
      </c>
      <c r="Q62" s="1">
        <v>1200000</v>
      </c>
      <c r="R62" s="1">
        <v>0</v>
      </c>
      <c r="S62" s="1">
        <v>0</v>
      </c>
      <c r="T62" s="1">
        <f t="shared" si="0"/>
        <v>1200000</v>
      </c>
      <c r="U62" t="s">
        <v>399</v>
      </c>
      <c r="V62" t="s">
        <v>442</v>
      </c>
      <c r="W62" s="1">
        <v>1200000</v>
      </c>
      <c r="X62" s="1">
        <v>1200000</v>
      </c>
      <c r="Y62" s="1">
        <v>1200000</v>
      </c>
      <c r="Z62" s="1">
        <v>1200000</v>
      </c>
      <c r="AA62" s="1">
        <v>1200000</v>
      </c>
      <c r="AB62" t="s">
        <v>443</v>
      </c>
    </row>
    <row r="63" spans="1:28">
      <c r="A63" t="s">
        <v>444</v>
      </c>
      <c r="B63" t="s">
        <v>68</v>
      </c>
      <c r="C63">
        <v>133279</v>
      </c>
      <c r="D63">
        <v>443</v>
      </c>
      <c r="E63" t="s">
        <v>445</v>
      </c>
      <c r="F63">
        <v>2020</v>
      </c>
      <c r="G63" t="s">
        <v>446</v>
      </c>
      <c r="H63" t="s">
        <v>68</v>
      </c>
      <c r="I63" t="s">
        <v>447</v>
      </c>
      <c r="L63" t="s">
        <v>448</v>
      </c>
      <c r="M63">
        <v>50</v>
      </c>
      <c r="N63" t="s">
        <v>54</v>
      </c>
      <c r="O63" t="s">
        <v>449</v>
      </c>
      <c r="P63" t="s">
        <v>36</v>
      </c>
      <c r="Q63" s="1">
        <v>0</v>
      </c>
      <c r="R63" s="1">
        <v>0</v>
      </c>
      <c r="S63" s="1">
        <v>0</v>
      </c>
      <c r="T63" s="1">
        <f t="shared" si="0"/>
        <v>0</v>
      </c>
      <c r="U63" t="s">
        <v>450</v>
      </c>
      <c r="V63" t="s">
        <v>451</v>
      </c>
      <c r="W63" s="1">
        <v>0</v>
      </c>
      <c r="X63" s="1">
        <v>0</v>
      </c>
      <c r="Y63" s="1">
        <v>0</v>
      </c>
      <c r="Z63" s="1">
        <v>0</v>
      </c>
      <c r="AA63" s="1">
        <v>0</v>
      </c>
      <c r="AB63" t="s">
        <v>452</v>
      </c>
    </row>
    <row r="64" spans="1:28">
      <c r="A64" t="s">
        <v>453</v>
      </c>
      <c r="B64" t="s">
        <v>220</v>
      </c>
      <c r="C64">
        <v>134490</v>
      </c>
      <c r="D64">
        <v>442</v>
      </c>
      <c r="E64" t="s">
        <v>90</v>
      </c>
      <c r="F64">
        <v>1999</v>
      </c>
      <c r="G64" t="s">
        <v>454</v>
      </c>
      <c r="H64" t="s">
        <v>220</v>
      </c>
      <c r="I64" t="s">
        <v>455</v>
      </c>
      <c r="L64" t="s">
        <v>456</v>
      </c>
      <c r="M64">
        <v>200</v>
      </c>
      <c r="N64" t="s">
        <v>189</v>
      </c>
      <c r="O64" t="s">
        <v>305</v>
      </c>
      <c r="P64" t="s">
        <v>36</v>
      </c>
      <c r="Q64" s="1">
        <v>1300000</v>
      </c>
      <c r="R64" s="1">
        <v>0</v>
      </c>
      <c r="S64" s="1">
        <v>0</v>
      </c>
      <c r="T64" s="1">
        <f t="shared" si="0"/>
        <v>1300000</v>
      </c>
      <c r="U64" t="s">
        <v>291</v>
      </c>
      <c r="V64" t="s">
        <v>457</v>
      </c>
      <c r="W64" s="1">
        <v>1300000</v>
      </c>
      <c r="X64" s="1">
        <v>1300000</v>
      </c>
      <c r="Y64" s="1">
        <v>1300000</v>
      </c>
      <c r="Z64" s="1">
        <v>1300000</v>
      </c>
      <c r="AA64" s="1">
        <v>1300000</v>
      </c>
      <c r="AB64" t="s">
        <v>307</v>
      </c>
    </row>
    <row r="65" spans="1:28">
      <c r="A65" t="s">
        <v>458</v>
      </c>
      <c r="B65" t="s">
        <v>68</v>
      </c>
      <c r="C65">
        <v>134706</v>
      </c>
      <c r="D65">
        <v>442</v>
      </c>
      <c r="E65" t="s">
        <v>356</v>
      </c>
      <c r="F65">
        <v>2003</v>
      </c>
      <c r="G65" t="s">
        <v>459</v>
      </c>
      <c r="H65" t="s">
        <v>68</v>
      </c>
      <c r="I65" t="s">
        <v>460</v>
      </c>
      <c r="M65">
        <v>150</v>
      </c>
      <c r="N65" t="s">
        <v>189</v>
      </c>
      <c r="O65" t="s">
        <v>461</v>
      </c>
      <c r="P65" t="s">
        <v>36</v>
      </c>
      <c r="Q65" s="1">
        <v>3515000</v>
      </c>
      <c r="R65" s="1">
        <v>0</v>
      </c>
      <c r="S65" s="1">
        <v>0</v>
      </c>
      <c r="T65" s="1">
        <f t="shared" si="0"/>
        <v>3515000</v>
      </c>
      <c r="U65" t="s">
        <v>462</v>
      </c>
      <c r="V65" t="s">
        <v>463</v>
      </c>
      <c r="W65" s="1">
        <v>3515000</v>
      </c>
      <c r="X65" s="1">
        <v>3515000</v>
      </c>
      <c r="Y65" s="1">
        <v>3515000</v>
      </c>
      <c r="Z65" s="1">
        <v>3515000</v>
      </c>
      <c r="AA65" s="1">
        <v>3515000</v>
      </c>
      <c r="AB65" t="s">
        <v>464</v>
      </c>
    </row>
    <row r="66" spans="1:28">
      <c r="A66" t="s">
        <v>465</v>
      </c>
      <c r="B66" t="s">
        <v>220</v>
      </c>
      <c r="C66">
        <v>137567</v>
      </c>
      <c r="D66">
        <v>440</v>
      </c>
      <c r="E66" t="s">
        <v>90</v>
      </c>
      <c r="G66" t="s">
        <v>466</v>
      </c>
      <c r="H66" t="s">
        <v>220</v>
      </c>
      <c r="I66" t="s">
        <v>467</v>
      </c>
      <c r="L66" t="s">
        <v>468</v>
      </c>
      <c r="M66">
        <v>150</v>
      </c>
      <c r="N66" t="s">
        <v>189</v>
      </c>
      <c r="O66" t="s">
        <v>469</v>
      </c>
      <c r="P66" t="s">
        <v>36</v>
      </c>
      <c r="Q66" s="1">
        <v>1200000</v>
      </c>
      <c r="R66" s="1">
        <v>0</v>
      </c>
      <c r="S66" s="1">
        <v>0</v>
      </c>
      <c r="T66" s="1">
        <f t="shared" ref="T66:T129" si="1">IF(COUNT(Q66:S66)=0,"",SUM(Q66:S66))</f>
        <v>1200000</v>
      </c>
      <c r="U66" t="s">
        <v>291</v>
      </c>
      <c r="V66" t="s">
        <v>470</v>
      </c>
      <c r="W66" s="1">
        <v>1200000</v>
      </c>
      <c r="X66" s="1">
        <v>1200000</v>
      </c>
      <c r="Y66" s="1">
        <v>1200000</v>
      </c>
      <c r="Z66" s="1">
        <v>1200000</v>
      </c>
      <c r="AA66" s="1">
        <v>1200000</v>
      </c>
      <c r="AB66" t="s">
        <v>307</v>
      </c>
    </row>
    <row r="67" spans="1:28">
      <c r="A67" t="s">
        <v>471</v>
      </c>
      <c r="B67" t="s">
        <v>68</v>
      </c>
      <c r="C67">
        <v>137867</v>
      </c>
      <c r="D67">
        <v>440</v>
      </c>
      <c r="E67" t="s">
        <v>356</v>
      </c>
      <c r="F67">
        <v>2000</v>
      </c>
      <c r="G67" t="s">
        <v>472</v>
      </c>
      <c r="H67" t="s">
        <v>68</v>
      </c>
      <c r="I67" t="s">
        <v>473</v>
      </c>
      <c r="M67">
        <v>150</v>
      </c>
      <c r="N67" t="s">
        <v>189</v>
      </c>
      <c r="O67" t="s">
        <v>474</v>
      </c>
      <c r="P67" t="s">
        <v>36</v>
      </c>
      <c r="Q67" s="1">
        <v>2600000</v>
      </c>
      <c r="R67" s="1">
        <v>0</v>
      </c>
      <c r="S67" s="1">
        <v>0</v>
      </c>
      <c r="T67" s="1">
        <f t="shared" si="1"/>
        <v>2600000</v>
      </c>
      <c r="U67" t="s">
        <v>475</v>
      </c>
      <c r="V67" t="s">
        <v>476</v>
      </c>
      <c r="W67" s="1">
        <v>2600000</v>
      </c>
      <c r="X67" s="1">
        <v>2600000</v>
      </c>
      <c r="Y67" s="1">
        <v>2600000</v>
      </c>
      <c r="Z67" s="1">
        <v>2600000</v>
      </c>
      <c r="AA67" s="1">
        <v>2600000</v>
      </c>
      <c r="AB67" t="s">
        <v>477</v>
      </c>
    </row>
    <row r="68" spans="1:28">
      <c r="A68" t="s">
        <v>478</v>
      </c>
      <c r="B68" t="s">
        <v>220</v>
      </c>
      <c r="C68">
        <v>140042</v>
      </c>
      <c r="D68">
        <v>439</v>
      </c>
      <c r="E68" t="s">
        <v>90</v>
      </c>
      <c r="F68">
        <v>2022</v>
      </c>
      <c r="G68" t="s">
        <v>479</v>
      </c>
      <c r="H68" t="s">
        <v>220</v>
      </c>
      <c r="I68" t="s">
        <v>480</v>
      </c>
      <c r="L68" t="s">
        <v>481</v>
      </c>
      <c r="M68">
        <v>150</v>
      </c>
      <c r="N68" t="s">
        <v>189</v>
      </c>
      <c r="O68" t="s">
        <v>305</v>
      </c>
      <c r="P68" t="s">
        <v>36</v>
      </c>
      <c r="Q68" s="1">
        <v>1155000</v>
      </c>
      <c r="R68" s="1">
        <v>0</v>
      </c>
      <c r="S68" s="1">
        <v>0</v>
      </c>
      <c r="T68" s="1">
        <f t="shared" si="1"/>
        <v>1155000</v>
      </c>
      <c r="U68" t="s">
        <v>291</v>
      </c>
      <c r="V68" t="s">
        <v>482</v>
      </c>
      <c r="W68" s="1">
        <v>1155000</v>
      </c>
      <c r="X68" s="1">
        <v>1155000</v>
      </c>
      <c r="Y68" s="1">
        <v>1155000</v>
      </c>
      <c r="Z68" s="1">
        <v>1155000</v>
      </c>
      <c r="AA68" s="1">
        <v>1155000</v>
      </c>
      <c r="AB68" t="s">
        <v>307</v>
      </c>
    </row>
    <row r="69" spans="1:28">
      <c r="A69" t="s">
        <v>483</v>
      </c>
      <c r="B69" t="s">
        <v>220</v>
      </c>
      <c r="C69">
        <v>142644</v>
      </c>
      <c r="D69">
        <v>437</v>
      </c>
      <c r="E69" t="s">
        <v>90</v>
      </c>
      <c r="F69">
        <v>2020</v>
      </c>
      <c r="G69" t="s">
        <v>484</v>
      </c>
      <c r="H69" t="s">
        <v>220</v>
      </c>
      <c r="I69" t="s">
        <v>485</v>
      </c>
      <c r="L69" t="s">
        <v>486</v>
      </c>
      <c r="M69">
        <v>150</v>
      </c>
      <c r="N69" t="s">
        <v>189</v>
      </c>
      <c r="O69" t="s">
        <v>487</v>
      </c>
      <c r="P69" t="s">
        <v>36</v>
      </c>
      <c r="Q69" s="1">
        <v>1155000</v>
      </c>
      <c r="R69" s="1">
        <v>0</v>
      </c>
      <c r="S69" s="1">
        <v>0</v>
      </c>
      <c r="T69" s="1">
        <f t="shared" si="1"/>
        <v>1155000</v>
      </c>
      <c r="U69" t="s">
        <v>291</v>
      </c>
      <c r="V69" t="s">
        <v>315</v>
      </c>
      <c r="W69" s="1">
        <v>1155000</v>
      </c>
      <c r="X69" s="1">
        <v>1155000</v>
      </c>
      <c r="Y69" s="1">
        <v>1155000</v>
      </c>
      <c r="Z69" s="1">
        <v>1155000</v>
      </c>
      <c r="AA69" s="1">
        <v>1155000</v>
      </c>
      <c r="AB69" t="s">
        <v>307</v>
      </c>
    </row>
    <row r="70" spans="1:28">
      <c r="A70" t="s">
        <v>488</v>
      </c>
      <c r="B70" t="s">
        <v>220</v>
      </c>
      <c r="C70">
        <v>143528</v>
      </c>
      <c r="D70">
        <v>437</v>
      </c>
      <c r="E70" t="s">
        <v>90</v>
      </c>
      <c r="F70">
        <v>2019</v>
      </c>
      <c r="G70" t="s">
        <v>489</v>
      </c>
      <c r="H70" t="s">
        <v>220</v>
      </c>
      <c r="I70" t="s">
        <v>490</v>
      </c>
      <c r="M70">
        <v>150</v>
      </c>
      <c r="N70" t="s">
        <v>189</v>
      </c>
      <c r="O70" t="s">
        <v>491</v>
      </c>
      <c r="P70" t="s">
        <v>36</v>
      </c>
      <c r="Q70" s="1">
        <v>1155000</v>
      </c>
      <c r="R70" s="1">
        <v>0</v>
      </c>
      <c r="S70" s="1">
        <v>0</v>
      </c>
      <c r="T70" s="1">
        <f t="shared" si="1"/>
        <v>1155000</v>
      </c>
      <c r="U70" t="s">
        <v>291</v>
      </c>
      <c r="V70" t="s">
        <v>315</v>
      </c>
      <c r="W70" s="1">
        <v>1155000</v>
      </c>
      <c r="X70" s="1">
        <v>1155000</v>
      </c>
      <c r="Y70" s="1">
        <v>1155000</v>
      </c>
      <c r="Z70" s="1">
        <v>1155000</v>
      </c>
      <c r="AA70" s="1">
        <v>1155000</v>
      </c>
      <c r="AB70" t="s">
        <v>307</v>
      </c>
    </row>
    <row r="71" spans="1:28">
      <c r="A71" t="s">
        <v>492</v>
      </c>
      <c r="B71" t="s">
        <v>220</v>
      </c>
      <c r="C71">
        <v>144275</v>
      </c>
      <c r="D71">
        <v>436</v>
      </c>
      <c r="E71" t="s">
        <v>29</v>
      </c>
      <c r="F71">
        <v>2023</v>
      </c>
      <c r="G71" t="s">
        <v>493</v>
      </c>
      <c r="H71" t="s">
        <v>220</v>
      </c>
      <c r="I71" t="s">
        <v>494</v>
      </c>
      <c r="J71" t="s">
        <v>495</v>
      </c>
      <c r="K71" t="s">
        <v>496</v>
      </c>
      <c r="L71" t="s">
        <v>497</v>
      </c>
      <c r="M71">
        <v>150</v>
      </c>
      <c r="N71" t="s">
        <v>189</v>
      </c>
      <c r="O71" t="s">
        <v>305</v>
      </c>
      <c r="P71" t="s">
        <v>36</v>
      </c>
      <c r="Q71" s="1">
        <v>1155000</v>
      </c>
      <c r="R71" s="1">
        <v>0</v>
      </c>
      <c r="S71" s="1">
        <v>0</v>
      </c>
      <c r="T71" s="1">
        <f t="shared" si="1"/>
        <v>1155000</v>
      </c>
      <c r="U71" t="s">
        <v>332</v>
      </c>
      <c r="V71" t="s">
        <v>498</v>
      </c>
      <c r="W71" s="1">
        <v>1155000</v>
      </c>
      <c r="X71" s="1">
        <v>1155000</v>
      </c>
      <c r="Y71" s="1">
        <v>1155000</v>
      </c>
      <c r="Z71" s="1">
        <v>1155000</v>
      </c>
      <c r="AA71" s="1">
        <v>1155000</v>
      </c>
      <c r="AB71" t="s">
        <v>333</v>
      </c>
    </row>
    <row r="72" spans="1:28">
      <c r="A72" t="s">
        <v>499</v>
      </c>
      <c r="B72" t="s">
        <v>435</v>
      </c>
      <c r="C72">
        <v>153216</v>
      </c>
      <c r="D72">
        <v>431</v>
      </c>
      <c r="E72" t="s">
        <v>90</v>
      </c>
      <c r="F72">
        <v>2020</v>
      </c>
      <c r="G72" t="s">
        <v>500</v>
      </c>
      <c r="H72" t="s">
        <v>435</v>
      </c>
      <c r="I72" t="s">
        <v>501</v>
      </c>
      <c r="J72" t="s">
        <v>502</v>
      </c>
      <c r="K72" t="s">
        <v>503</v>
      </c>
      <c r="L72" t="s">
        <v>504</v>
      </c>
      <c r="M72">
        <v>150</v>
      </c>
      <c r="N72" t="s">
        <v>189</v>
      </c>
      <c r="O72" t="s">
        <v>505</v>
      </c>
      <c r="P72" t="s">
        <v>36</v>
      </c>
      <c r="Q72" s="1">
        <v>1190401</v>
      </c>
      <c r="R72" s="1">
        <v>0</v>
      </c>
      <c r="S72" s="1">
        <v>0</v>
      </c>
      <c r="T72" s="1">
        <f t="shared" si="1"/>
        <v>1190401</v>
      </c>
      <c r="U72" t="s">
        <v>399</v>
      </c>
      <c r="V72" t="s">
        <v>506</v>
      </c>
      <c r="W72" s="1">
        <v>1190401</v>
      </c>
      <c r="X72" s="1">
        <v>1190401</v>
      </c>
      <c r="Y72" s="1">
        <v>1190401</v>
      </c>
      <c r="Z72" s="1">
        <v>1190401</v>
      </c>
      <c r="AA72" s="1">
        <v>1190401</v>
      </c>
      <c r="AB72" t="s">
        <v>443</v>
      </c>
    </row>
    <row r="73" spans="1:28">
      <c r="A73" t="s">
        <v>507</v>
      </c>
      <c r="B73" t="s">
        <v>435</v>
      </c>
      <c r="C73">
        <v>160036</v>
      </c>
      <c r="D73">
        <v>427</v>
      </c>
      <c r="E73" t="s">
        <v>90</v>
      </c>
      <c r="F73">
        <v>2009</v>
      </c>
      <c r="G73" t="s">
        <v>508</v>
      </c>
      <c r="H73" t="s">
        <v>435</v>
      </c>
      <c r="I73" t="s">
        <v>509</v>
      </c>
      <c r="L73" t="s">
        <v>510</v>
      </c>
      <c r="M73">
        <v>100</v>
      </c>
      <c r="N73" t="s">
        <v>189</v>
      </c>
      <c r="O73" t="s">
        <v>305</v>
      </c>
      <c r="P73" t="s">
        <v>36</v>
      </c>
      <c r="Q73" s="1">
        <v>1685681</v>
      </c>
      <c r="R73" s="1">
        <v>0</v>
      </c>
      <c r="S73" s="1">
        <v>0</v>
      </c>
      <c r="T73" s="1">
        <f t="shared" si="1"/>
        <v>1685681</v>
      </c>
      <c r="U73" t="s">
        <v>399</v>
      </c>
      <c r="V73" t="s">
        <v>511</v>
      </c>
      <c r="W73" s="1">
        <v>1685681</v>
      </c>
      <c r="X73" s="1">
        <v>1685681</v>
      </c>
      <c r="Y73" s="1">
        <v>1685681</v>
      </c>
      <c r="Z73" s="1">
        <v>1685681</v>
      </c>
      <c r="AA73" s="1">
        <v>1685681</v>
      </c>
      <c r="AB73" t="s">
        <v>443</v>
      </c>
    </row>
    <row r="74" spans="1:28">
      <c r="A74" t="s">
        <v>512</v>
      </c>
      <c r="B74" t="s">
        <v>435</v>
      </c>
      <c r="C74">
        <v>160036</v>
      </c>
      <c r="D74">
        <v>427</v>
      </c>
      <c r="E74" t="s">
        <v>90</v>
      </c>
      <c r="F74">
        <v>2015</v>
      </c>
      <c r="G74" t="s">
        <v>513</v>
      </c>
      <c r="H74" t="s">
        <v>435</v>
      </c>
      <c r="I74" t="s">
        <v>514</v>
      </c>
      <c r="J74" t="s">
        <v>515</v>
      </c>
      <c r="K74" t="s">
        <v>516</v>
      </c>
      <c r="L74" t="s">
        <v>517</v>
      </c>
      <c r="M74">
        <v>150</v>
      </c>
      <c r="N74" t="s">
        <v>189</v>
      </c>
      <c r="O74" t="s">
        <v>305</v>
      </c>
      <c r="P74" t="s">
        <v>36</v>
      </c>
      <c r="Q74" s="1">
        <v>1300000</v>
      </c>
      <c r="R74" s="1">
        <v>0</v>
      </c>
      <c r="S74" s="1">
        <v>0</v>
      </c>
      <c r="T74" s="1">
        <f t="shared" si="1"/>
        <v>1300000</v>
      </c>
      <c r="U74" t="s">
        <v>518</v>
      </c>
      <c r="V74" t="s">
        <v>519</v>
      </c>
      <c r="W74" s="1">
        <v>1300000</v>
      </c>
      <c r="X74" s="1">
        <v>1300000</v>
      </c>
      <c r="Y74" s="1">
        <v>1300000</v>
      </c>
      <c r="Z74" s="1">
        <v>1300000</v>
      </c>
      <c r="AA74" s="1">
        <v>1300000</v>
      </c>
      <c r="AB74" t="s">
        <v>443</v>
      </c>
    </row>
    <row r="75" spans="1:28">
      <c r="A75" t="s">
        <v>520</v>
      </c>
      <c r="B75" t="s">
        <v>68</v>
      </c>
      <c r="C75">
        <v>171713</v>
      </c>
      <c r="D75">
        <v>421</v>
      </c>
      <c r="E75" t="s">
        <v>521</v>
      </c>
      <c r="F75">
        <v>2024</v>
      </c>
      <c r="G75" t="s">
        <v>522</v>
      </c>
      <c r="H75" t="s">
        <v>68</v>
      </c>
      <c r="I75" t="s">
        <v>523</v>
      </c>
      <c r="L75" t="s">
        <v>524</v>
      </c>
      <c r="M75">
        <v>100</v>
      </c>
      <c r="N75" t="s">
        <v>54</v>
      </c>
      <c r="O75" t="s">
        <v>525</v>
      </c>
      <c r="P75" t="s">
        <v>36</v>
      </c>
      <c r="Q75" s="1">
        <v>2215750</v>
      </c>
      <c r="R75" s="1">
        <v>0</v>
      </c>
      <c r="S75" s="1">
        <v>0</v>
      </c>
      <c r="T75" s="1">
        <f t="shared" si="1"/>
        <v>2215750</v>
      </c>
      <c r="U75" t="s">
        <v>325</v>
      </c>
      <c r="V75" t="s">
        <v>526</v>
      </c>
      <c r="W75" s="1">
        <v>2215750</v>
      </c>
      <c r="X75" s="1">
        <v>2215750</v>
      </c>
      <c r="Y75" s="1">
        <v>2215750</v>
      </c>
      <c r="Z75" s="1">
        <v>2215750</v>
      </c>
      <c r="AA75" s="1">
        <v>2215750</v>
      </c>
      <c r="AB75" t="s">
        <v>527</v>
      </c>
    </row>
    <row r="76" spans="1:28">
      <c r="A76" t="s">
        <v>528</v>
      </c>
      <c r="B76" t="s">
        <v>435</v>
      </c>
      <c r="C76">
        <v>189181</v>
      </c>
      <c r="D76">
        <v>411</v>
      </c>
      <c r="E76" t="s">
        <v>90</v>
      </c>
      <c r="F76">
        <v>2015</v>
      </c>
      <c r="G76" t="s">
        <v>529</v>
      </c>
      <c r="H76" t="s">
        <v>435</v>
      </c>
      <c r="I76" t="s">
        <v>530</v>
      </c>
      <c r="J76" t="s">
        <v>531</v>
      </c>
      <c r="K76" t="s">
        <v>532</v>
      </c>
      <c r="L76" t="s">
        <v>533</v>
      </c>
      <c r="M76">
        <v>150</v>
      </c>
      <c r="N76" t="s">
        <v>189</v>
      </c>
      <c r="O76" t="s">
        <v>534</v>
      </c>
      <c r="P76" t="s">
        <v>36</v>
      </c>
      <c r="Q76" s="1">
        <v>1321492</v>
      </c>
      <c r="R76" s="1">
        <v>0</v>
      </c>
      <c r="S76" s="1">
        <v>0</v>
      </c>
      <c r="T76" s="1">
        <f t="shared" si="1"/>
        <v>1321492</v>
      </c>
      <c r="U76" t="s">
        <v>399</v>
      </c>
      <c r="V76" t="s">
        <v>535</v>
      </c>
      <c r="W76" s="1">
        <v>1321492</v>
      </c>
      <c r="X76" s="1">
        <v>1321492</v>
      </c>
      <c r="Y76" s="1">
        <v>1321492</v>
      </c>
      <c r="Z76" s="1">
        <v>1321492</v>
      </c>
      <c r="AA76" s="1">
        <v>1321492</v>
      </c>
      <c r="AB76" t="s">
        <v>443</v>
      </c>
    </row>
    <row r="77" spans="1:28">
      <c r="A77" t="s">
        <v>536</v>
      </c>
      <c r="B77" t="s">
        <v>435</v>
      </c>
      <c r="C77">
        <v>190852</v>
      </c>
      <c r="D77">
        <v>410</v>
      </c>
      <c r="E77" t="s">
        <v>90</v>
      </c>
      <c r="F77">
        <v>2008</v>
      </c>
      <c r="G77" t="s">
        <v>537</v>
      </c>
      <c r="H77" t="s">
        <v>435</v>
      </c>
      <c r="I77" t="s">
        <v>538</v>
      </c>
      <c r="K77" t="s">
        <v>539</v>
      </c>
      <c r="L77" t="s">
        <v>540</v>
      </c>
      <c r="M77">
        <v>150</v>
      </c>
      <c r="N77" t="s">
        <v>189</v>
      </c>
      <c r="O77" t="s">
        <v>541</v>
      </c>
      <c r="P77" t="s">
        <v>36</v>
      </c>
      <c r="Q77" s="1">
        <v>1181671</v>
      </c>
      <c r="R77" s="1">
        <v>0</v>
      </c>
      <c r="S77" s="1">
        <v>0</v>
      </c>
      <c r="T77" s="1">
        <f t="shared" si="1"/>
        <v>1181671</v>
      </c>
      <c r="U77" t="s">
        <v>399</v>
      </c>
      <c r="V77" t="s">
        <v>542</v>
      </c>
      <c r="W77" s="1">
        <v>1181671</v>
      </c>
      <c r="X77" s="1">
        <v>1181671</v>
      </c>
      <c r="Y77" s="1">
        <v>1181671</v>
      </c>
      <c r="Z77" s="1">
        <v>1181671</v>
      </c>
      <c r="AA77" s="1">
        <v>1181671</v>
      </c>
      <c r="AB77" t="s">
        <v>443</v>
      </c>
    </row>
    <row r="78" spans="1:28">
      <c r="A78" t="s">
        <v>543</v>
      </c>
      <c r="B78" t="s">
        <v>435</v>
      </c>
      <c r="C78">
        <v>195896</v>
      </c>
      <c r="D78">
        <v>408</v>
      </c>
      <c r="E78" t="s">
        <v>90</v>
      </c>
      <c r="F78">
        <v>2009</v>
      </c>
      <c r="G78" t="s">
        <v>544</v>
      </c>
      <c r="H78" t="s">
        <v>435</v>
      </c>
      <c r="I78" t="s">
        <v>545</v>
      </c>
      <c r="J78" t="s">
        <v>546</v>
      </c>
      <c r="L78" t="s">
        <v>547</v>
      </c>
      <c r="M78">
        <v>250</v>
      </c>
      <c r="N78" t="s">
        <v>189</v>
      </c>
      <c r="O78" t="s">
        <v>548</v>
      </c>
      <c r="P78" t="s">
        <v>36</v>
      </c>
      <c r="Q78" s="1">
        <v>1523183</v>
      </c>
      <c r="R78" s="1">
        <v>0</v>
      </c>
      <c r="S78" s="1">
        <v>94160</v>
      </c>
      <c r="T78" s="1">
        <f t="shared" si="1"/>
        <v>1617343</v>
      </c>
      <c r="U78" t="s">
        <v>399</v>
      </c>
      <c r="V78" t="s">
        <v>549</v>
      </c>
      <c r="W78" s="1">
        <v>1617343</v>
      </c>
      <c r="X78" s="1">
        <v>1617343</v>
      </c>
      <c r="Y78" s="1">
        <v>1617343</v>
      </c>
      <c r="Z78" s="1">
        <v>1617343</v>
      </c>
      <c r="AA78" s="1">
        <v>1617343</v>
      </c>
      <c r="AB78" t="s">
        <v>443</v>
      </c>
    </row>
    <row r="79" spans="1:28">
      <c r="A79" t="s">
        <v>550</v>
      </c>
      <c r="B79" t="s">
        <v>435</v>
      </c>
      <c r="C79">
        <v>196805</v>
      </c>
      <c r="D79">
        <v>407</v>
      </c>
      <c r="E79" t="s">
        <v>79</v>
      </c>
      <c r="F79">
        <v>2024</v>
      </c>
      <c r="G79" t="s">
        <v>551</v>
      </c>
      <c r="H79" t="s">
        <v>435</v>
      </c>
      <c r="I79" t="s">
        <v>552</v>
      </c>
      <c r="J79" t="s">
        <v>553</v>
      </c>
      <c r="K79" t="s">
        <v>554</v>
      </c>
      <c r="L79" t="s">
        <v>555</v>
      </c>
      <c r="M79">
        <v>150</v>
      </c>
      <c r="N79" t="s">
        <v>54</v>
      </c>
      <c r="O79" t="s">
        <v>305</v>
      </c>
      <c r="P79" t="s">
        <v>36</v>
      </c>
      <c r="Q79" s="1">
        <v>1400000</v>
      </c>
      <c r="R79" s="1">
        <v>0</v>
      </c>
      <c r="S79" s="1">
        <v>0</v>
      </c>
      <c r="T79" s="1">
        <f t="shared" si="1"/>
        <v>1400000</v>
      </c>
      <c r="U79" t="s">
        <v>556</v>
      </c>
      <c r="V79" t="s">
        <v>557</v>
      </c>
      <c r="W79" s="1">
        <v>1400000</v>
      </c>
      <c r="X79" s="1">
        <v>1400000</v>
      </c>
      <c r="Y79" s="1">
        <v>1400000</v>
      </c>
      <c r="Z79" s="1">
        <v>1400000</v>
      </c>
      <c r="AA79" s="1">
        <v>1400000</v>
      </c>
      <c r="AB79" t="s">
        <v>443</v>
      </c>
    </row>
    <row r="80" spans="1:28">
      <c r="A80" t="s">
        <v>558</v>
      </c>
      <c r="B80" t="s">
        <v>220</v>
      </c>
      <c r="C80">
        <v>197567</v>
      </c>
      <c r="D80">
        <v>440</v>
      </c>
      <c r="E80" t="s">
        <v>90</v>
      </c>
      <c r="F80">
        <v>2003</v>
      </c>
      <c r="G80" t="s">
        <v>559</v>
      </c>
      <c r="H80" t="s">
        <v>220</v>
      </c>
      <c r="I80" t="s">
        <v>560</v>
      </c>
      <c r="L80" t="s">
        <v>561</v>
      </c>
      <c r="M80">
        <v>150</v>
      </c>
      <c r="N80" t="s">
        <v>189</v>
      </c>
      <c r="O80" t="s">
        <v>562</v>
      </c>
      <c r="P80" t="s">
        <v>36</v>
      </c>
      <c r="Q80" s="1">
        <v>1300000</v>
      </c>
      <c r="R80" s="1">
        <v>0</v>
      </c>
      <c r="S80" s="1">
        <v>0</v>
      </c>
      <c r="T80" s="1">
        <f t="shared" si="1"/>
        <v>1300000</v>
      </c>
      <c r="U80" t="s">
        <v>291</v>
      </c>
      <c r="V80" t="s">
        <v>315</v>
      </c>
      <c r="W80" s="1">
        <v>1300000</v>
      </c>
      <c r="X80" s="1">
        <v>1300000</v>
      </c>
      <c r="Y80" s="1">
        <v>1300000</v>
      </c>
      <c r="Z80" s="1">
        <v>1300000</v>
      </c>
      <c r="AA80" s="1">
        <v>1300000</v>
      </c>
      <c r="AB80" t="s">
        <v>307</v>
      </c>
    </row>
    <row r="81" spans="1:28">
      <c r="A81" t="s">
        <v>563</v>
      </c>
      <c r="B81" t="s">
        <v>220</v>
      </c>
      <c r="C81">
        <v>197567</v>
      </c>
      <c r="D81">
        <v>440</v>
      </c>
      <c r="E81" t="s">
        <v>79</v>
      </c>
      <c r="F81">
        <v>2002</v>
      </c>
      <c r="G81" t="s">
        <v>564</v>
      </c>
      <c r="H81" t="s">
        <v>220</v>
      </c>
      <c r="I81" t="s">
        <v>565</v>
      </c>
      <c r="J81" t="s">
        <v>566</v>
      </c>
      <c r="L81" t="s">
        <v>567</v>
      </c>
      <c r="M81">
        <v>150</v>
      </c>
      <c r="N81" t="s">
        <v>189</v>
      </c>
      <c r="O81" t="s">
        <v>305</v>
      </c>
      <c r="P81" t="s">
        <v>36</v>
      </c>
      <c r="Q81" s="1">
        <v>1300000</v>
      </c>
      <c r="R81" s="1">
        <v>0</v>
      </c>
      <c r="S81" s="1">
        <v>0</v>
      </c>
      <c r="T81" s="1">
        <f t="shared" si="1"/>
        <v>1300000</v>
      </c>
      <c r="U81" t="s">
        <v>291</v>
      </c>
      <c r="V81" t="s">
        <v>315</v>
      </c>
      <c r="W81" s="1">
        <v>1300000</v>
      </c>
      <c r="X81" s="1">
        <v>1300000</v>
      </c>
      <c r="Y81" s="1">
        <v>1300000</v>
      </c>
      <c r="Z81" s="1">
        <v>1300000</v>
      </c>
      <c r="AA81" s="1">
        <v>1300000</v>
      </c>
      <c r="AB81" t="s">
        <v>307</v>
      </c>
    </row>
    <row r="82" spans="1:28">
      <c r="A82" t="s">
        <v>568</v>
      </c>
      <c r="B82" t="s">
        <v>68</v>
      </c>
      <c r="C82">
        <v>212337</v>
      </c>
      <c r="D82">
        <v>399</v>
      </c>
      <c r="E82" t="s">
        <v>356</v>
      </c>
      <c r="F82">
        <v>2020</v>
      </c>
      <c r="G82" t="s">
        <v>569</v>
      </c>
      <c r="H82" t="s">
        <v>68</v>
      </c>
      <c r="I82" t="s">
        <v>570</v>
      </c>
      <c r="J82" t="s">
        <v>571</v>
      </c>
      <c r="L82" t="s">
        <v>572</v>
      </c>
      <c r="M82">
        <v>150</v>
      </c>
      <c r="N82" t="s">
        <v>54</v>
      </c>
      <c r="O82" t="s">
        <v>573</v>
      </c>
      <c r="P82" t="s">
        <v>36</v>
      </c>
      <c r="Q82" s="1">
        <v>2015500</v>
      </c>
      <c r="R82" s="1">
        <v>0</v>
      </c>
      <c r="S82" s="1">
        <v>0</v>
      </c>
      <c r="T82" s="1">
        <f t="shared" si="1"/>
        <v>2015500</v>
      </c>
      <c r="U82" t="s">
        <v>574</v>
      </c>
      <c r="V82" t="s">
        <v>575</v>
      </c>
      <c r="W82" s="1">
        <v>2015500</v>
      </c>
      <c r="X82" s="1">
        <v>2015500</v>
      </c>
      <c r="Y82" s="1">
        <v>2015500</v>
      </c>
      <c r="Z82" s="1">
        <v>2015500</v>
      </c>
      <c r="AA82" s="1">
        <v>2015500</v>
      </c>
      <c r="AB82" t="s">
        <v>576</v>
      </c>
    </row>
    <row r="83" spans="1:28">
      <c r="A83" t="s">
        <v>577</v>
      </c>
      <c r="B83" t="s">
        <v>435</v>
      </c>
      <c r="C83">
        <v>229989</v>
      </c>
      <c r="D83">
        <v>390</v>
      </c>
      <c r="E83" t="s">
        <v>90</v>
      </c>
      <c r="F83">
        <v>2011</v>
      </c>
      <c r="G83" t="s">
        <v>537</v>
      </c>
      <c r="H83" t="s">
        <v>435</v>
      </c>
      <c r="I83" t="s">
        <v>578</v>
      </c>
      <c r="L83" t="s">
        <v>579</v>
      </c>
      <c r="M83">
        <v>150</v>
      </c>
      <c r="N83" t="s">
        <v>189</v>
      </c>
      <c r="O83" t="s">
        <v>580</v>
      </c>
      <c r="P83" t="s">
        <v>36</v>
      </c>
      <c r="Q83" s="1">
        <v>1309968</v>
      </c>
      <c r="R83" s="1">
        <v>0</v>
      </c>
      <c r="S83" s="1">
        <v>0</v>
      </c>
      <c r="T83" s="1">
        <f t="shared" si="1"/>
        <v>1309968</v>
      </c>
      <c r="U83" t="s">
        <v>581</v>
      </c>
      <c r="V83" t="s">
        <v>582</v>
      </c>
      <c r="W83" s="1">
        <v>1309968</v>
      </c>
      <c r="X83" s="1">
        <v>1309968</v>
      </c>
      <c r="Y83" s="1">
        <v>1309968</v>
      </c>
      <c r="Z83" s="1">
        <v>1309968</v>
      </c>
      <c r="AA83" s="1">
        <v>1309968</v>
      </c>
      <c r="AB83" t="s">
        <v>583</v>
      </c>
    </row>
    <row r="84" spans="1:28">
      <c r="A84" t="s">
        <v>584</v>
      </c>
      <c r="B84" t="s">
        <v>68</v>
      </c>
      <c r="C84">
        <v>234085</v>
      </c>
      <c r="D84">
        <v>388</v>
      </c>
      <c r="E84" t="s">
        <v>445</v>
      </c>
      <c r="F84">
        <v>1986</v>
      </c>
      <c r="G84" t="s">
        <v>585</v>
      </c>
      <c r="H84" t="s">
        <v>68</v>
      </c>
      <c r="I84" t="s">
        <v>586</v>
      </c>
      <c r="M84">
        <v>150</v>
      </c>
      <c r="N84" t="s">
        <v>587</v>
      </c>
      <c r="O84" t="s">
        <v>588</v>
      </c>
      <c r="P84" t="s">
        <v>36</v>
      </c>
      <c r="Q84" s="1">
        <v>2000000</v>
      </c>
      <c r="R84" s="1">
        <v>0</v>
      </c>
      <c r="S84" s="1">
        <v>0</v>
      </c>
      <c r="T84" s="1">
        <f t="shared" si="1"/>
        <v>2000000</v>
      </c>
      <c r="U84" t="s">
        <v>589</v>
      </c>
      <c r="V84" t="s">
        <v>590</v>
      </c>
      <c r="W84" s="1">
        <v>2000000</v>
      </c>
      <c r="X84" s="1">
        <v>2000000</v>
      </c>
      <c r="Y84" s="1">
        <v>2000000</v>
      </c>
      <c r="Z84" s="1">
        <v>2000000</v>
      </c>
      <c r="AA84" s="1">
        <v>2000000</v>
      </c>
      <c r="AB84" t="s">
        <v>591</v>
      </c>
    </row>
    <row r="85" spans="1:28">
      <c r="A85" t="s">
        <v>592</v>
      </c>
      <c r="B85" t="s">
        <v>220</v>
      </c>
      <c r="C85">
        <v>244556</v>
      </c>
      <c r="D85">
        <v>383</v>
      </c>
      <c r="E85" t="s">
        <v>90</v>
      </c>
      <c r="F85">
        <v>2023</v>
      </c>
      <c r="G85" t="s">
        <v>593</v>
      </c>
      <c r="H85" t="s">
        <v>220</v>
      </c>
      <c r="I85" t="s">
        <v>594</v>
      </c>
      <c r="L85" t="s">
        <v>595</v>
      </c>
      <c r="M85">
        <v>150</v>
      </c>
      <c r="N85" t="s">
        <v>189</v>
      </c>
      <c r="O85" t="s">
        <v>305</v>
      </c>
      <c r="P85" t="s">
        <v>36</v>
      </c>
      <c r="Q85" s="1">
        <v>1155000</v>
      </c>
      <c r="R85" s="1">
        <v>0</v>
      </c>
      <c r="S85" s="1">
        <v>0</v>
      </c>
      <c r="T85" s="1">
        <f t="shared" si="1"/>
        <v>1155000</v>
      </c>
      <c r="U85" t="s">
        <v>291</v>
      </c>
      <c r="V85" t="s">
        <v>596</v>
      </c>
      <c r="W85" s="1">
        <v>1155000</v>
      </c>
      <c r="X85" s="1">
        <v>1155000</v>
      </c>
      <c r="Y85" s="1">
        <v>1155000</v>
      </c>
      <c r="Z85" s="1">
        <v>1155000</v>
      </c>
      <c r="AA85" s="1">
        <v>1155000</v>
      </c>
      <c r="AB85" t="s">
        <v>307</v>
      </c>
    </row>
    <row r="86" spans="1:28">
      <c r="A86" t="s">
        <v>597</v>
      </c>
      <c r="B86" t="s">
        <v>435</v>
      </c>
      <c r="C86">
        <v>266476</v>
      </c>
      <c r="D86">
        <v>372</v>
      </c>
      <c r="E86" t="s">
        <v>598</v>
      </c>
      <c r="F86">
        <v>1996</v>
      </c>
      <c r="G86" t="s">
        <v>599</v>
      </c>
      <c r="H86" t="s">
        <v>435</v>
      </c>
      <c r="I86" t="s">
        <v>600</v>
      </c>
      <c r="L86" t="s">
        <v>601</v>
      </c>
      <c r="M86">
        <v>200</v>
      </c>
      <c r="N86" t="s">
        <v>189</v>
      </c>
      <c r="O86" t="s">
        <v>602</v>
      </c>
      <c r="P86" t="s">
        <v>36</v>
      </c>
      <c r="Q86" s="1">
        <v>1185133</v>
      </c>
      <c r="R86" s="1">
        <v>0</v>
      </c>
      <c r="S86" s="1">
        <v>0</v>
      </c>
      <c r="T86" s="1">
        <f t="shared" si="1"/>
        <v>1185133</v>
      </c>
      <c r="U86" t="s">
        <v>581</v>
      </c>
      <c r="V86" t="s">
        <v>603</v>
      </c>
      <c r="W86" s="1">
        <v>1185133</v>
      </c>
      <c r="X86" s="1">
        <v>1185133</v>
      </c>
      <c r="Y86" s="1">
        <v>1185133</v>
      </c>
      <c r="Z86" s="1">
        <v>1185133</v>
      </c>
      <c r="AA86" s="1">
        <v>1185133</v>
      </c>
      <c r="AB86" t="s">
        <v>604</v>
      </c>
    </row>
    <row r="87" spans="1:28">
      <c r="A87" t="s">
        <v>605</v>
      </c>
      <c r="B87" t="s">
        <v>435</v>
      </c>
      <c r="C87">
        <v>269532</v>
      </c>
      <c r="D87">
        <v>371</v>
      </c>
      <c r="E87" t="s">
        <v>90</v>
      </c>
      <c r="F87">
        <v>2008</v>
      </c>
      <c r="G87" t="s">
        <v>606</v>
      </c>
      <c r="H87" t="s">
        <v>435</v>
      </c>
      <c r="I87" t="s">
        <v>607</v>
      </c>
      <c r="J87" t="s">
        <v>608</v>
      </c>
      <c r="L87" t="s">
        <v>609</v>
      </c>
      <c r="M87">
        <v>150</v>
      </c>
      <c r="N87" t="s">
        <v>54</v>
      </c>
      <c r="O87" t="s">
        <v>610</v>
      </c>
      <c r="P87" t="s">
        <v>36</v>
      </c>
      <c r="Q87" s="1">
        <v>1271856</v>
      </c>
      <c r="R87" s="1">
        <v>0</v>
      </c>
      <c r="S87" s="1">
        <v>0</v>
      </c>
      <c r="T87" s="1">
        <f t="shared" si="1"/>
        <v>1271856</v>
      </c>
      <c r="U87" t="s">
        <v>581</v>
      </c>
      <c r="V87" t="s">
        <v>603</v>
      </c>
      <c r="W87" s="1">
        <v>1271856</v>
      </c>
      <c r="X87" s="1">
        <v>1271856</v>
      </c>
      <c r="Y87" s="1">
        <v>1271856</v>
      </c>
      <c r="Z87" s="1">
        <v>1271856</v>
      </c>
      <c r="AA87" s="1">
        <v>1271856</v>
      </c>
      <c r="AB87" t="s">
        <v>604</v>
      </c>
    </row>
    <row r="88" spans="1:28">
      <c r="A88" t="s">
        <v>611</v>
      </c>
      <c r="B88" t="s">
        <v>435</v>
      </c>
      <c r="C88">
        <v>296410</v>
      </c>
      <c r="D88">
        <v>359</v>
      </c>
      <c r="E88" t="s">
        <v>90</v>
      </c>
      <c r="F88">
        <v>2006</v>
      </c>
      <c r="G88" t="s">
        <v>612</v>
      </c>
      <c r="H88" t="s">
        <v>435</v>
      </c>
      <c r="I88" t="s">
        <v>613</v>
      </c>
      <c r="K88" t="s">
        <v>614</v>
      </c>
      <c r="L88" t="s">
        <v>615</v>
      </c>
      <c r="M88">
        <v>200</v>
      </c>
      <c r="N88" t="s">
        <v>54</v>
      </c>
      <c r="O88" t="s">
        <v>616</v>
      </c>
      <c r="P88" t="s">
        <v>36</v>
      </c>
      <c r="Q88" s="1">
        <v>1393883</v>
      </c>
      <c r="R88" s="1">
        <v>0</v>
      </c>
      <c r="S88" s="1">
        <v>0</v>
      </c>
      <c r="T88" s="1">
        <f t="shared" si="1"/>
        <v>1393883</v>
      </c>
      <c r="U88" t="s">
        <v>581</v>
      </c>
      <c r="V88" t="s">
        <v>617</v>
      </c>
      <c r="W88" s="1">
        <v>1393883</v>
      </c>
      <c r="X88" s="1">
        <v>1393883</v>
      </c>
      <c r="Y88" s="1">
        <v>1393883</v>
      </c>
      <c r="Z88" s="1">
        <v>1393883</v>
      </c>
      <c r="AA88" s="1">
        <v>1393883</v>
      </c>
      <c r="AB88" t="s">
        <v>604</v>
      </c>
    </row>
    <row r="89" spans="1:28">
      <c r="A89" t="s">
        <v>618</v>
      </c>
      <c r="B89" t="s">
        <v>435</v>
      </c>
      <c r="C89">
        <v>334849</v>
      </c>
      <c r="D89">
        <v>342</v>
      </c>
      <c r="E89" t="s">
        <v>90</v>
      </c>
      <c r="F89">
        <v>2012</v>
      </c>
      <c r="G89" t="s">
        <v>508</v>
      </c>
      <c r="H89" t="s">
        <v>435</v>
      </c>
      <c r="I89" t="s">
        <v>619</v>
      </c>
      <c r="M89">
        <v>150</v>
      </c>
      <c r="N89" t="s">
        <v>54</v>
      </c>
      <c r="O89" t="s">
        <v>610</v>
      </c>
      <c r="P89" t="s">
        <v>36</v>
      </c>
      <c r="Q89" s="1">
        <v>1121162</v>
      </c>
      <c r="R89" s="1">
        <v>0</v>
      </c>
      <c r="S89" s="1">
        <v>0</v>
      </c>
      <c r="T89" s="1">
        <f t="shared" si="1"/>
        <v>1121162</v>
      </c>
      <c r="U89" t="s">
        <v>581</v>
      </c>
      <c r="V89" t="s">
        <v>620</v>
      </c>
      <c r="W89" s="1">
        <v>1121162</v>
      </c>
      <c r="X89" s="1">
        <v>1121162</v>
      </c>
      <c r="Y89" s="1">
        <v>1121162</v>
      </c>
      <c r="Z89" s="1">
        <v>1121162</v>
      </c>
      <c r="AA89" s="1">
        <v>1121162</v>
      </c>
      <c r="AB89" t="s">
        <v>604</v>
      </c>
    </row>
    <row r="90" spans="1:28">
      <c r="A90" t="s">
        <v>621</v>
      </c>
      <c r="B90" t="s">
        <v>435</v>
      </c>
      <c r="C90">
        <v>336679</v>
      </c>
      <c r="D90">
        <v>341</v>
      </c>
      <c r="E90" t="s">
        <v>90</v>
      </c>
      <c r="F90">
        <v>2018</v>
      </c>
      <c r="G90" t="s">
        <v>599</v>
      </c>
      <c r="H90" t="s">
        <v>435</v>
      </c>
      <c r="I90" t="s">
        <v>622</v>
      </c>
      <c r="L90" t="s">
        <v>623</v>
      </c>
      <c r="M90">
        <v>150</v>
      </c>
      <c r="N90" t="s">
        <v>54</v>
      </c>
      <c r="O90" t="s">
        <v>610</v>
      </c>
      <c r="P90" t="s">
        <v>36</v>
      </c>
      <c r="Q90" s="1">
        <v>1219917</v>
      </c>
      <c r="R90" s="1">
        <v>0</v>
      </c>
      <c r="S90" s="1">
        <v>0</v>
      </c>
      <c r="T90" s="1">
        <f t="shared" si="1"/>
        <v>1219917</v>
      </c>
      <c r="U90" t="s">
        <v>581</v>
      </c>
      <c r="V90" t="s">
        <v>624</v>
      </c>
      <c r="W90" s="1">
        <v>1219917</v>
      </c>
      <c r="X90" s="1">
        <v>1219917</v>
      </c>
      <c r="Y90" s="1">
        <v>1219917</v>
      </c>
      <c r="Z90" s="1">
        <v>1219917</v>
      </c>
      <c r="AA90" s="1">
        <v>1219917</v>
      </c>
      <c r="AB90" t="s">
        <v>604</v>
      </c>
    </row>
    <row r="91" spans="1:28">
      <c r="A91" t="s">
        <v>625</v>
      </c>
      <c r="B91" t="s">
        <v>435</v>
      </c>
      <c r="C91">
        <v>351380</v>
      </c>
      <c r="D91">
        <v>335</v>
      </c>
      <c r="E91" t="s">
        <v>90</v>
      </c>
      <c r="F91">
        <v>2017</v>
      </c>
      <c r="G91" t="s">
        <v>537</v>
      </c>
      <c r="H91" t="s">
        <v>435</v>
      </c>
      <c r="I91" t="s">
        <v>626</v>
      </c>
      <c r="M91">
        <v>150</v>
      </c>
      <c r="N91" t="s">
        <v>54</v>
      </c>
      <c r="O91" t="s">
        <v>627</v>
      </c>
      <c r="P91" t="s">
        <v>36</v>
      </c>
      <c r="Q91" s="1">
        <v>1178892</v>
      </c>
      <c r="R91" s="1">
        <v>0</v>
      </c>
      <c r="S91" s="1">
        <v>0</v>
      </c>
      <c r="T91" s="1">
        <f t="shared" si="1"/>
        <v>1178892</v>
      </c>
      <c r="U91" t="s">
        <v>581</v>
      </c>
      <c r="V91" t="s">
        <v>628</v>
      </c>
      <c r="W91" s="1">
        <v>1178892</v>
      </c>
      <c r="X91" s="1">
        <v>1178892</v>
      </c>
      <c r="Y91" s="1">
        <v>1178892</v>
      </c>
      <c r="Z91" s="1">
        <v>1178892</v>
      </c>
      <c r="AA91" s="1">
        <v>1178892</v>
      </c>
      <c r="AB91" t="s">
        <v>604</v>
      </c>
    </row>
    <row r="92" spans="1:28">
      <c r="A92" t="s">
        <v>629</v>
      </c>
      <c r="B92" t="s">
        <v>435</v>
      </c>
      <c r="C92">
        <v>357901</v>
      </c>
      <c r="D92">
        <v>332</v>
      </c>
      <c r="E92" t="s">
        <v>90</v>
      </c>
      <c r="F92">
        <v>2016</v>
      </c>
      <c r="G92" t="s">
        <v>630</v>
      </c>
      <c r="H92" t="s">
        <v>435</v>
      </c>
      <c r="I92" t="s">
        <v>631</v>
      </c>
      <c r="L92" t="s">
        <v>632</v>
      </c>
      <c r="M92">
        <v>150</v>
      </c>
      <c r="N92" t="s">
        <v>54</v>
      </c>
      <c r="O92" t="s">
        <v>633</v>
      </c>
      <c r="P92" t="s">
        <v>36</v>
      </c>
      <c r="Q92" s="1">
        <v>1103932</v>
      </c>
      <c r="R92" s="1">
        <v>0</v>
      </c>
      <c r="S92" s="1">
        <v>0</v>
      </c>
      <c r="T92" s="1">
        <f t="shared" si="1"/>
        <v>1103932</v>
      </c>
      <c r="U92" t="s">
        <v>581</v>
      </c>
      <c r="V92" t="s">
        <v>634</v>
      </c>
      <c r="W92" s="1">
        <v>1103932</v>
      </c>
      <c r="X92" s="1">
        <v>1103932</v>
      </c>
      <c r="Y92" s="1">
        <v>1103932</v>
      </c>
      <c r="Z92" s="1">
        <v>1103932</v>
      </c>
      <c r="AA92" s="1">
        <v>1103932</v>
      </c>
      <c r="AB92" t="s">
        <v>604</v>
      </c>
    </row>
    <row r="93" spans="1:28">
      <c r="A93" t="s">
        <v>635</v>
      </c>
      <c r="B93" t="s">
        <v>435</v>
      </c>
      <c r="C93">
        <v>364468</v>
      </c>
      <c r="D93">
        <v>330</v>
      </c>
      <c r="E93" t="s">
        <v>90</v>
      </c>
      <c r="F93">
        <v>2023</v>
      </c>
      <c r="G93" t="s">
        <v>436</v>
      </c>
      <c r="H93" t="s">
        <v>435</v>
      </c>
      <c r="I93" t="s">
        <v>636</v>
      </c>
      <c r="M93">
        <v>150</v>
      </c>
      <c r="N93" t="s">
        <v>54</v>
      </c>
      <c r="O93" t="s">
        <v>637</v>
      </c>
      <c r="P93" t="s">
        <v>36</v>
      </c>
      <c r="Q93" s="1">
        <v>1214683</v>
      </c>
      <c r="R93" s="1">
        <v>0</v>
      </c>
      <c r="S93" s="1">
        <v>0</v>
      </c>
      <c r="T93" s="1">
        <f t="shared" si="1"/>
        <v>1214683</v>
      </c>
      <c r="U93" t="s">
        <v>581</v>
      </c>
      <c r="V93" t="s">
        <v>638</v>
      </c>
      <c r="W93" s="1">
        <v>1214683</v>
      </c>
      <c r="X93" s="1">
        <v>1214683</v>
      </c>
      <c r="Y93" s="1">
        <v>1214683</v>
      </c>
      <c r="Z93" s="1">
        <v>1214683</v>
      </c>
      <c r="AA93" s="1">
        <v>1214683</v>
      </c>
      <c r="AB93" t="s">
        <v>604</v>
      </c>
    </row>
    <row r="94" spans="1:28">
      <c r="A94" t="s">
        <v>639</v>
      </c>
      <c r="B94" t="s">
        <v>435</v>
      </c>
      <c r="C94">
        <v>375194</v>
      </c>
      <c r="D94">
        <v>325</v>
      </c>
      <c r="E94" t="s">
        <v>90</v>
      </c>
      <c r="F94">
        <v>2014</v>
      </c>
      <c r="G94" t="s">
        <v>640</v>
      </c>
      <c r="H94" t="s">
        <v>435</v>
      </c>
      <c r="I94" t="s">
        <v>641</v>
      </c>
      <c r="L94" t="s">
        <v>642</v>
      </c>
      <c r="M94">
        <v>150</v>
      </c>
      <c r="N94" t="s">
        <v>54</v>
      </c>
      <c r="O94" t="s">
        <v>610</v>
      </c>
      <c r="P94" t="s">
        <v>36</v>
      </c>
      <c r="Q94" s="1">
        <v>1110508</v>
      </c>
      <c r="R94" s="1">
        <v>0</v>
      </c>
      <c r="S94" s="1">
        <v>0</v>
      </c>
      <c r="T94" s="1">
        <f t="shared" si="1"/>
        <v>1110508</v>
      </c>
      <c r="U94" t="s">
        <v>581</v>
      </c>
      <c r="V94" t="s">
        <v>643</v>
      </c>
      <c r="W94" s="1">
        <v>1110508</v>
      </c>
      <c r="X94" s="1">
        <v>1110508</v>
      </c>
      <c r="Y94" s="1">
        <v>1110508</v>
      </c>
      <c r="Z94" s="1">
        <v>1110508</v>
      </c>
      <c r="AA94" s="1">
        <v>1110508</v>
      </c>
      <c r="AB94" t="s">
        <v>604</v>
      </c>
    </row>
    <row r="95" spans="1:28">
      <c r="A95" t="s">
        <v>644</v>
      </c>
      <c r="B95" t="s">
        <v>435</v>
      </c>
      <c r="C95">
        <v>382152</v>
      </c>
      <c r="D95">
        <v>323</v>
      </c>
      <c r="E95" t="s">
        <v>90</v>
      </c>
      <c r="F95">
        <v>2024</v>
      </c>
      <c r="G95" t="s">
        <v>645</v>
      </c>
      <c r="H95" t="s">
        <v>435</v>
      </c>
      <c r="I95" t="s">
        <v>646</v>
      </c>
      <c r="L95" t="s">
        <v>647</v>
      </c>
      <c r="M95">
        <v>150</v>
      </c>
      <c r="N95" t="s">
        <v>54</v>
      </c>
      <c r="O95" t="s">
        <v>648</v>
      </c>
      <c r="P95" t="s">
        <v>36</v>
      </c>
      <c r="Q95" s="1">
        <v>1258288</v>
      </c>
      <c r="R95" s="1">
        <v>0</v>
      </c>
      <c r="S95" s="1">
        <v>0</v>
      </c>
      <c r="T95" s="1">
        <f t="shared" si="1"/>
        <v>1258288</v>
      </c>
      <c r="U95" t="s">
        <v>581</v>
      </c>
      <c r="V95" t="s">
        <v>649</v>
      </c>
      <c r="W95" s="1">
        <v>1258288</v>
      </c>
      <c r="X95" s="1">
        <v>1258288</v>
      </c>
      <c r="Y95" s="1">
        <v>1258288</v>
      </c>
      <c r="Z95" s="1">
        <v>1258288</v>
      </c>
      <c r="AA95" s="1">
        <v>1258288</v>
      </c>
      <c r="AB95" t="s">
        <v>604</v>
      </c>
    </row>
    <row r="96" spans="1:28">
      <c r="A96" t="s">
        <v>650</v>
      </c>
      <c r="B96" t="s">
        <v>435</v>
      </c>
      <c r="C96">
        <v>383586</v>
      </c>
      <c r="D96">
        <v>322</v>
      </c>
      <c r="E96" t="s">
        <v>90</v>
      </c>
      <c r="F96">
        <v>2013</v>
      </c>
      <c r="G96" t="s">
        <v>606</v>
      </c>
      <c r="H96" t="s">
        <v>435</v>
      </c>
      <c r="I96" t="s">
        <v>651</v>
      </c>
      <c r="J96" t="s">
        <v>652</v>
      </c>
      <c r="L96" t="s">
        <v>653</v>
      </c>
      <c r="M96">
        <v>150</v>
      </c>
      <c r="N96" t="s">
        <v>54</v>
      </c>
      <c r="O96" t="s">
        <v>610</v>
      </c>
      <c r="P96" t="s">
        <v>36</v>
      </c>
      <c r="Q96" s="1">
        <v>1214683</v>
      </c>
      <c r="R96" s="1">
        <v>0</v>
      </c>
      <c r="S96" s="1">
        <v>0</v>
      </c>
      <c r="T96" s="1">
        <f t="shared" si="1"/>
        <v>1214683</v>
      </c>
      <c r="U96" t="s">
        <v>581</v>
      </c>
      <c r="V96" t="s">
        <v>654</v>
      </c>
      <c r="W96" s="1">
        <v>1214683</v>
      </c>
      <c r="X96" s="1">
        <v>1214683</v>
      </c>
      <c r="Y96" s="1">
        <v>1214683</v>
      </c>
      <c r="Z96" s="1">
        <v>1214683</v>
      </c>
      <c r="AA96" s="1">
        <v>1214683</v>
      </c>
      <c r="AB96" t="s">
        <v>604</v>
      </c>
    </row>
    <row r="97" spans="1:28">
      <c r="A97" t="s">
        <v>655</v>
      </c>
      <c r="B97" t="s">
        <v>435</v>
      </c>
      <c r="C97">
        <v>392077</v>
      </c>
      <c r="D97">
        <v>319</v>
      </c>
      <c r="E97" t="s">
        <v>90</v>
      </c>
      <c r="F97">
        <v>2016</v>
      </c>
      <c r="G97" t="s">
        <v>436</v>
      </c>
      <c r="H97" t="s">
        <v>435</v>
      </c>
      <c r="I97" t="s">
        <v>656</v>
      </c>
      <c r="L97" t="s">
        <v>657</v>
      </c>
      <c r="M97">
        <v>150</v>
      </c>
      <c r="N97" t="s">
        <v>54</v>
      </c>
      <c r="O97" t="s">
        <v>658</v>
      </c>
      <c r="P97" t="s">
        <v>36</v>
      </c>
      <c r="Q97" s="1">
        <v>1173856</v>
      </c>
      <c r="R97" s="1">
        <v>0</v>
      </c>
      <c r="S97" s="1">
        <v>0</v>
      </c>
      <c r="T97" s="1">
        <f t="shared" si="1"/>
        <v>1173856</v>
      </c>
      <c r="U97" t="s">
        <v>581</v>
      </c>
      <c r="V97" t="s">
        <v>659</v>
      </c>
      <c r="W97" s="1">
        <v>1173856</v>
      </c>
      <c r="X97" s="1">
        <v>1173856</v>
      </c>
      <c r="Y97" s="1">
        <v>1173856</v>
      </c>
      <c r="Z97" s="1">
        <v>1173856</v>
      </c>
      <c r="AA97" s="1">
        <v>1173856</v>
      </c>
      <c r="AB97" t="s">
        <v>604</v>
      </c>
    </row>
    <row r="98" spans="1:28">
      <c r="A98" t="s">
        <v>660</v>
      </c>
      <c r="B98" t="s">
        <v>435</v>
      </c>
      <c r="C98">
        <v>402286</v>
      </c>
      <c r="D98">
        <v>315</v>
      </c>
      <c r="E98" t="s">
        <v>90</v>
      </c>
      <c r="F98">
        <v>2016</v>
      </c>
      <c r="G98" t="s">
        <v>661</v>
      </c>
      <c r="H98" t="s">
        <v>435</v>
      </c>
      <c r="I98" t="s">
        <v>662</v>
      </c>
      <c r="L98" t="s">
        <v>663</v>
      </c>
      <c r="M98">
        <v>150</v>
      </c>
      <c r="N98" t="s">
        <v>54</v>
      </c>
      <c r="O98" t="s">
        <v>664</v>
      </c>
      <c r="P98" t="s">
        <v>36</v>
      </c>
      <c r="Q98" s="1">
        <v>1159610</v>
      </c>
      <c r="R98" s="1">
        <v>0</v>
      </c>
      <c r="S98" s="1">
        <v>0</v>
      </c>
      <c r="T98" s="1">
        <f t="shared" si="1"/>
        <v>1159610</v>
      </c>
      <c r="U98" t="s">
        <v>581</v>
      </c>
      <c r="V98" t="s">
        <v>603</v>
      </c>
      <c r="W98" s="1">
        <v>1159610</v>
      </c>
      <c r="X98" s="1">
        <v>1159610</v>
      </c>
      <c r="Y98" s="1">
        <v>1159610</v>
      </c>
      <c r="Z98" s="1">
        <v>1159610</v>
      </c>
      <c r="AA98" s="1">
        <v>1159610</v>
      </c>
      <c r="AB98" t="s">
        <v>604</v>
      </c>
    </row>
    <row r="99" spans="1:28">
      <c r="A99" t="s">
        <v>665</v>
      </c>
      <c r="B99" t="s">
        <v>151</v>
      </c>
      <c r="C99">
        <v>404611</v>
      </c>
      <c r="D99">
        <v>314</v>
      </c>
      <c r="E99" t="s">
        <v>90</v>
      </c>
      <c r="F99">
        <v>2013</v>
      </c>
      <c r="G99" t="s">
        <v>365</v>
      </c>
      <c r="H99" t="s">
        <v>151</v>
      </c>
      <c r="I99" t="s">
        <v>366</v>
      </c>
      <c r="J99" t="s">
        <v>666</v>
      </c>
      <c r="K99" t="s">
        <v>667</v>
      </c>
      <c r="L99" t="s">
        <v>668</v>
      </c>
      <c r="M99">
        <v>150</v>
      </c>
      <c r="N99" t="s">
        <v>54</v>
      </c>
      <c r="O99" t="s">
        <v>669</v>
      </c>
      <c r="Q99" s="1">
        <v>799000</v>
      </c>
      <c r="R99" s="1">
        <v>0</v>
      </c>
      <c r="S99" s="1">
        <v>0</v>
      </c>
      <c r="T99" s="1">
        <f t="shared" si="1"/>
        <v>799000</v>
      </c>
      <c r="U99" t="s">
        <v>156</v>
      </c>
      <c r="V99" t="s">
        <v>670</v>
      </c>
      <c r="W99" s="1">
        <v>799000</v>
      </c>
      <c r="X99" s="1">
        <v>799000</v>
      </c>
      <c r="Y99" s="1">
        <v>799000</v>
      </c>
      <c r="Z99" s="1">
        <v>799000</v>
      </c>
      <c r="AA99" s="1">
        <v>799000</v>
      </c>
      <c r="AB99" t="s">
        <v>158</v>
      </c>
    </row>
    <row r="100" spans="1:28">
      <c r="A100" t="s">
        <v>671</v>
      </c>
      <c r="B100" t="s">
        <v>435</v>
      </c>
      <c r="C100">
        <v>421396</v>
      </c>
      <c r="D100">
        <v>308</v>
      </c>
      <c r="E100" t="s">
        <v>90</v>
      </c>
      <c r="F100">
        <v>2024</v>
      </c>
      <c r="G100" t="s">
        <v>606</v>
      </c>
      <c r="H100" t="s">
        <v>435</v>
      </c>
      <c r="I100" t="s">
        <v>672</v>
      </c>
      <c r="J100" t="s">
        <v>673</v>
      </c>
      <c r="L100" t="s">
        <v>674</v>
      </c>
      <c r="M100">
        <v>150</v>
      </c>
      <c r="N100" t="s">
        <v>54</v>
      </c>
      <c r="O100" t="s">
        <v>675</v>
      </c>
      <c r="P100" t="s">
        <v>36</v>
      </c>
      <c r="Q100" s="1">
        <v>1258288</v>
      </c>
      <c r="R100" s="1">
        <v>0</v>
      </c>
      <c r="S100" s="1">
        <v>0</v>
      </c>
      <c r="T100" s="1">
        <f t="shared" si="1"/>
        <v>1258288</v>
      </c>
      <c r="U100" t="s">
        <v>581</v>
      </c>
      <c r="V100" t="s">
        <v>676</v>
      </c>
      <c r="W100" s="1">
        <v>1258288</v>
      </c>
      <c r="X100" s="1">
        <v>1258288</v>
      </c>
      <c r="Y100" s="1">
        <v>1258288</v>
      </c>
      <c r="Z100" s="1">
        <v>1258288</v>
      </c>
      <c r="AA100" s="1">
        <v>1258288</v>
      </c>
      <c r="AB100" t="s">
        <v>604</v>
      </c>
    </row>
    <row r="101" spans="1:28">
      <c r="A101" t="s">
        <v>677</v>
      </c>
      <c r="B101" t="s">
        <v>435</v>
      </c>
      <c r="C101">
        <v>427750</v>
      </c>
      <c r="D101">
        <v>305</v>
      </c>
      <c r="E101" t="s">
        <v>90</v>
      </c>
      <c r="F101">
        <v>2020</v>
      </c>
      <c r="G101" t="s">
        <v>678</v>
      </c>
      <c r="H101" t="s">
        <v>435</v>
      </c>
      <c r="I101" t="s">
        <v>679</v>
      </c>
      <c r="M101">
        <v>150</v>
      </c>
      <c r="N101" t="s">
        <v>189</v>
      </c>
      <c r="O101" t="s">
        <v>610</v>
      </c>
      <c r="P101" t="s">
        <v>36</v>
      </c>
      <c r="Q101" s="1">
        <v>1192211</v>
      </c>
      <c r="R101" s="1">
        <v>0</v>
      </c>
      <c r="S101" s="1">
        <v>0</v>
      </c>
      <c r="T101" s="1">
        <f t="shared" si="1"/>
        <v>1192211</v>
      </c>
      <c r="U101" t="s">
        <v>581</v>
      </c>
      <c r="V101" t="s">
        <v>680</v>
      </c>
      <c r="W101" s="1">
        <v>1192211</v>
      </c>
      <c r="X101" s="1">
        <v>1192211</v>
      </c>
      <c r="Y101" s="1">
        <v>1192211</v>
      </c>
      <c r="Z101" s="1">
        <v>1192211</v>
      </c>
      <c r="AA101" s="1">
        <v>1192211</v>
      </c>
      <c r="AB101" t="s">
        <v>604</v>
      </c>
    </row>
    <row r="102" spans="1:28">
      <c r="A102" t="s">
        <v>681</v>
      </c>
      <c r="B102" t="s">
        <v>435</v>
      </c>
      <c r="C102">
        <v>433125</v>
      </c>
      <c r="D102">
        <v>304</v>
      </c>
      <c r="E102" t="s">
        <v>90</v>
      </c>
      <c r="F102">
        <v>2002</v>
      </c>
      <c r="G102" t="s">
        <v>682</v>
      </c>
      <c r="H102" t="s">
        <v>435</v>
      </c>
      <c r="I102" t="s">
        <v>683</v>
      </c>
      <c r="L102" t="s">
        <v>684</v>
      </c>
      <c r="M102">
        <v>200</v>
      </c>
      <c r="N102" t="s">
        <v>189</v>
      </c>
      <c r="O102" t="s">
        <v>685</v>
      </c>
      <c r="P102" t="s">
        <v>36</v>
      </c>
      <c r="Q102" s="1">
        <v>1648512</v>
      </c>
      <c r="R102" s="1">
        <v>0</v>
      </c>
      <c r="S102" s="1">
        <v>0</v>
      </c>
      <c r="T102" s="1">
        <f t="shared" si="1"/>
        <v>1648512</v>
      </c>
      <c r="U102" t="s">
        <v>581</v>
      </c>
      <c r="V102" t="s">
        <v>686</v>
      </c>
      <c r="W102" s="1">
        <v>1648512</v>
      </c>
      <c r="X102" s="1">
        <v>1648512</v>
      </c>
      <c r="Y102" s="1">
        <v>1648512</v>
      </c>
      <c r="Z102" s="1">
        <v>1648512</v>
      </c>
      <c r="AA102" s="1">
        <v>1648512</v>
      </c>
      <c r="AB102" t="s">
        <v>604</v>
      </c>
    </row>
    <row r="103" spans="1:28">
      <c r="A103" t="s">
        <v>687</v>
      </c>
      <c r="B103" t="s">
        <v>68</v>
      </c>
      <c r="C103">
        <v>436705</v>
      </c>
      <c r="D103">
        <v>302</v>
      </c>
      <c r="E103" t="s">
        <v>90</v>
      </c>
      <c r="F103">
        <v>2011</v>
      </c>
      <c r="G103" t="s">
        <v>357</v>
      </c>
      <c r="H103" t="s">
        <v>68</v>
      </c>
      <c r="I103" t="s">
        <v>688</v>
      </c>
      <c r="J103" t="s">
        <v>689</v>
      </c>
      <c r="M103">
        <v>150</v>
      </c>
      <c r="N103" t="s">
        <v>690</v>
      </c>
      <c r="O103" t="s">
        <v>691</v>
      </c>
      <c r="P103" t="s">
        <v>36</v>
      </c>
      <c r="Q103" s="1">
        <v>1200867</v>
      </c>
      <c r="R103" s="1">
        <v>0</v>
      </c>
      <c r="S103" s="1">
        <v>0</v>
      </c>
      <c r="T103" s="1">
        <f t="shared" si="1"/>
        <v>1200867</v>
      </c>
      <c r="U103" t="s">
        <v>182</v>
      </c>
      <c r="V103" t="s">
        <v>300</v>
      </c>
      <c r="W103" s="1">
        <v>1200867</v>
      </c>
      <c r="X103" s="1">
        <v>1200867</v>
      </c>
      <c r="Y103" s="1">
        <v>1200867</v>
      </c>
      <c r="Z103" s="1">
        <v>1200867</v>
      </c>
      <c r="AA103" s="1">
        <v>1200867</v>
      </c>
      <c r="AB103" t="s">
        <v>192</v>
      </c>
    </row>
    <row r="104" spans="1:28">
      <c r="A104" t="s">
        <v>692</v>
      </c>
      <c r="B104" t="s">
        <v>435</v>
      </c>
      <c r="C104">
        <v>439268</v>
      </c>
      <c r="D104">
        <v>301</v>
      </c>
      <c r="E104" t="s">
        <v>90</v>
      </c>
      <c r="F104">
        <v>2016</v>
      </c>
      <c r="G104" t="s">
        <v>693</v>
      </c>
      <c r="H104" t="s">
        <v>435</v>
      </c>
      <c r="I104" t="s">
        <v>694</v>
      </c>
      <c r="J104" t="s">
        <v>695</v>
      </c>
      <c r="M104">
        <v>250</v>
      </c>
      <c r="N104" t="s">
        <v>54</v>
      </c>
      <c r="O104" t="s">
        <v>696</v>
      </c>
      <c r="P104" t="s">
        <v>36</v>
      </c>
      <c r="Q104" s="1">
        <v>1210000</v>
      </c>
      <c r="R104" s="1">
        <v>0</v>
      </c>
      <c r="S104" s="1">
        <v>0</v>
      </c>
      <c r="T104" s="1">
        <f t="shared" si="1"/>
        <v>1210000</v>
      </c>
      <c r="U104" t="s">
        <v>581</v>
      </c>
      <c r="V104" t="s">
        <v>697</v>
      </c>
      <c r="W104" s="1">
        <v>1210000</v>
      </c>
      <c r="X104" s="1">
        <v>1210000</v>
      </c>
      <c r="Y104" s="1">
        <v>1210000</v>
      </c>
      <c r="Z104" s="1">
        <v>1210000</v>
      </c>
      <c r="AA104" s="1">
        <v>1210000</v>
      </c>
      <c r="AB104" t="s">
        <v>604</v>
      </c>
    </row>
    <row r="105" spans="1:28">
      <c r="A105" t="s">
        <v>698</v>
      </c>
      <c r="B105" t="s">
        <v>435</v>
      </c>
      <c r="C105">
        <v>440266</v>
      </c>
      <c r="D105">
        <v>301</v>
      </c>
      <c r="E105" t="s">
        <v>90</v>
      </c>
      <c r="F105">
        <v>2024</v>
      </c>
      <c r="G105" t="s">
        <v>699</v>
      </c>
      <c r="H105" t="s">
        <v>435</v>
      </c>
      <c r="I105" t="s">
        <v>700</v>
      </c>
      <c r="L105" t="s">
        <v>701</v>
      </c>
      <c r="M105">
        <v>250</v>
      </c>
      <c r="N105" t="s">
        <v>54</v>
      </c>
      <c r="O105" t="s">
        <v>702</v>
      </c>
      <c r="P105" t="s">
        <v>36</v>
      </c>
      <c r="Q105" s="1">
        <v>1258288</v>
      </c>
      <c r="R105" s="1">
        <v>0</v>
      </c>
      <c r="S105" s="1">
        <v>0</v>
      </c>
      <c r="T105" s="1">
        <f t="shared" si="1"/>
        <v>1258288</v>
      </c>
      <c r="U105" t="s">
        <v>581</v>
      </c>
      <c r="V105" t="s">
        <v>703</v>
      </c>
      <c r="W105" s="1">
        <v>1258288</v>
      </c>
      <c r="X105" s="1">
        <v>1258288</v>
      </c>
      <c r="Y105" s="1">
        <v>1258288</v>
      </c>
      <c r="Z105" s="1">
        <v>1258288</v>
      </c>
      <c r="AA105" s="1">
        <v>1258288</v>
      </c>
      <c r="AB105" t="s">
        <v>604</v>
      </c>
    </row>
    <row r="106" spans="1:28">
      <c r="A106" t="s">
        <v>704</v>
      </c>
      <c r="B106" t="s">
        <v>68</v>
      </c>
      <c r="C106">
        <v>445758</v>
      </c>
      <c r="D106">
        <v>299</v>
      </c>
      <c r="E106" t="s">
        <v>90</v>
      </c>
      <c r="F106">
        <v>2013</v>
      </c>
      <c r="G106" t="s">
        <v>705</v>
      </c>
      <c r="H106" t="s">
        <v>68</v>
      </c>
      <c r="I106" t="s">
        <v>706</v>
      </c>
      <c r="M106">
        <v>150</v>
      </c>
      <c r="N106" t="s">
        <v>189</v>
      </c>
      <c r="O106" t="s">
        <v>707</v>
      </c>
      <c r="P106" t="s">
        <v>36</v>
      </c>
      <c r="Q106" s="1">
        <v>1093000</v>
      </c>
      <c r="R106" s="1">
        <v>0</v>
      </c>
      <c r="S106" s="1">
        <v>0</v>
      </c>
      <c r="T106" s="1">
        <f t="shared" si="1"/>
        <v>1093000</v>
      </c>
      <c r="U106" t="s">
        <v>708</v>
      </c>
      <c r="V106" t="s">
        <v>709</v>
      </c>
      <c r="W106" s="1">
        <v>1093000</v>
      </c>
      <c r="X106" s="1">
        <v>1093000</v>
      </c>
      <c r="Y106" s="1">
        <v>1093000</v>
      </c>
      <c r="Z106" s="1">
        <v>1093000</v>
      </c>
      <c r="AA106" s="1">
        <v>1093000</v>
      </c>
      <c r="AB106" t="s">
        <v>576</v>
      </c>
    </row>
    <row r="107" spans="1:28">
      <c r="A107" t="s">
        <v>710</v>
      </c>
      <c r="B107" t="s">
        <v>435</v>
      </c>
      <c r="C107">
        <v>500475</v>
      </c>
      <c r="D107">
        <v>281</v>
      </c>
      <c r="E107" t="s">
        <v>90</v>
      </c>
      <c r="F107">
        <v>2006</v>
      </c>
      <c r="G107" t="s">
        <v>682</v>
      </c>
      <c r="H107" t="s">
        <v>435</v>
      </c>
      <c r="I107" t="s">
        <v>711</v>
      </c>
      <c r="L107" t="s">
        <v>712</v>
      </c>
      <c r="M107">
        <v>250</v>
      </c>
      <c r="N107" t="s">
        <v>54</v>
      </c>
      <c r="O107" t="s">
        <v>713</v>
      </c>
      <c r="P107" t="s">
        <v>36</v>
      </c>
      <c r="Q107" s="1">
        <v>1560301</v>
      </c>
      <c r="R107" s="1">
        <v>0</v>
      </c>
      <c r="S107" s="1">
        <v>0</v>
      </c>
      <c r="T107" s="1">
        <f t="shared" si="1"/>
        <v>1560301</v>
      </c>
      <c r="U107" t="s">
        <v>581</v>
      </c>
      <c r="V107" t="s">
        <v>714</v>
      </c>
      <c r="W107" s="1">
        <v>1560301</v>
      </c>
      <c r="X107" s="1">
        <v>1560301</v>
      </c>
      <c r="Y107" s="1">
        <v>1560301</v>
      </c>
      <c r="Z107" s="1">
        <v>1560301</v>
      </c>
      <c r="AA107" s="1">
        <v>1560301</v>
      </c>
      <c r="AB107" t="s">
        <v>604</v>
      </c>
    </row>
    <row r="108" spans="1:28">
      <c r="A108" t="s">
        <v>715</v>
      </c>
      <c r="B108" t="s">
        <v>716</v>
      </c>
      <c r="C108">
        <v>558179</v>
      </c>
      <c r="D108">
        <v>263</v>
      </c>
      <c r="E108" t="s">
        <v>90</v>
      </c>
      <c r="F108">
        <v>2008</v>
      </c>
      <c r="G108" t="s">
        <v>717</v>
      </c>
      <c r="H108" t="s">
        <v>716</v>
      </c>
      <c r="I108" t="s">
        <v>718</v>
      </c>
      <c r="M108">
        <v>250</v>
      </c>
      <c r="N108" t="s">
        <v>719</v>
      </c>
      <c r="O108" t="s">
        <v>720</v>
      </c>
      <c r="P108" t="s">
        <v>36</v>
      </c>
      <c r="Q108" s="1">
        <v>3000000</v>
      </c>
      <c r="R108" s="1">
        <v>0</v>
      </c>
      <c r="S108" s="1">
        <v>0</v>
      </c>
      <c r="T108" s="1">
        <f t="shared" si="1"/>
        <v>3000000</v>
      </c>
      <c r="U108" t="s">
        <v>721</v>
      </c>
      <c r="V108" t="s">
        <v>722</v>
      </c>
      <c r="W108" s="1">
        <v>3000000</v>
      </c>
      <c r="X108" s="1">
        <v>3000000</v>
      </c>
      <c r="Y108" s="1">
        <v>3000000</v>
      </c>
      <c r="Z108" s="1">
        <v>3000000</v>
      </c>
      <c r="AA108" s="1">
        <v>3000000</v>
      </c>
      <c r="AB108" t="s">
        <v>723</v>
      </c>
    </row>
    <row r="109" spans="1:28">
      <c r="A109" t="s">
        <v>724</v>
      </c>
      <c r="B109" t="s">
        <v>435</v>
      </c>
      <c r="C109">
        <v>580210</v>
      </c>
      <c r="D109">
        <v>255</v>
      </c>
      <c r="E109" t="s">
        <v>69</v>
      </c>
      <c r="F109">
        <v>1997</v>
      </c>
      <c r="G109" t="s">
        <v>630</v>
      </c>
      <c r="H109" t="s">
        <v>435</v>
      </c>
      <c r="I109" t="s">
        <v>725</v>
      </c>
      <c r="J109" t="s">
        <v>726</v>
      </c>
      <c r="M109">
        <v>150</v>
      </c>
      <c r="N109" t="s">
        <v>189</v>
      </c>
      <c r="O109" t="s">
        <v>727</v>
      </c>
      <c r="P109" t="s">
        <v>36</v>
      </c>
      <c r="Q109" s="1">
        <v>1660000</v>
      </c>
      <c r="R109" s="1">
        <v>0</v>
      </c>
      <c r="S109" s="1">
        <v>0</v>
      </c>
      <c r="T109" s="1">
        <f t="shared" si="1"/>
        <v>1660000</v>
      </c>
      <c r="U109" t="s">
        <v>728</v>
      </c>
      <c r="V109" t="s">
        <v>729</v>
      </c>
      <c r="W109" s="1">
        <v>1660000</v>
      </c>
      <c r="X109" s="1">
        <v>1660000</v>
      </c>
      <c r="Y109" s="1">
        <v>1660000</v>
      </c>
      <c r="Z109" s="1">
        <v>1660000</v>
      </c>
      <c r="AA109" s="1">
        <v>1660000</v>
      </c>
      <c r="AB109" t="s">
        <v>730</v>
      </c>
    </row>
    <row r="110" spans="1:28">
      <c r="A110" t="s">
        <v>731</v>
      </c>
      <c r="B110" t="s">
        <v>68</v>
      </c>
      <c r="C110">
        <v>581641</v>
      </c>
      <c r="D110">
        <v>256</v>
      </c>
      <c r="E110" t="s">
        <v>90</v>
      </c>
      <c r="F110">
        <v>2011</v>
      </c>
      <c r="G110" t="s">
        <v>732</v>
      </c>
      <c r="H110" t="s">
        <v>68</v>
      </c>
      <c r="I110" t="s">
        <v>733</v>
      </c>
      <c r="L110" t="s">
        <v>734</v>
      </c>
      <c r="M110">
        <v>250</v>
      </c>
      <c r="N110" t="s">
        <v>189</v>
      </c>
      <c r="O110" t="s">
        <v>735</v>
      </c>
      <c r="P110" t="s">
        <v>36</v>
      </c>
      <c r="Q110" s="1">
        <v>1100000</v>
      </c>
      <c r="R110" s="1">
        <v>0</v>
      </c>
      <c r="S110" s="1">
        <v>0</v>
      </c>
      <c r="T110" s="1">
        <f t="shared" si="1"/>
        <v>1100000</v>
      </c>
      <c r="U110" t="s">
        <v>386</v>
      </c>
      <c r="V110" t="s">
        <v>736</v>
      </c>
      <c r="W110" s="1">
        <v>1100000</v>
      </c>
      <c r="X110" s="1">
        <v>1100000</v>
      </c>
      <c r="Y110" s="1">
        <v>1100000</v>
      </c>
      <c r="Z110" s="1">
        <v>1100000</v>
      </c>
      <c r="AA110" s="1">
        <v>1100000</v>
      </c>
      <c r="AB110" t="s">
        <v>192</v>
      </c>
    </row>
    <row r="111" spans="1:28">
      <c r="A111" t="s">
        <v>737</v>
      </c>
      <c r="B111" t="s">
        <v>435</v>
      </c>
      <c r="C111">
        <v>591567</v>
      </c>
      <c r="D111">
        <v>253</v>
      </c>
      <c r="E111" t="s">
        <v>90</v>
      </c>
      <c r="F111">
        <v>2016</v>
      </c>
      <c r="G111" t="s">
        <v>630</v>
      </c>
      <c r="H111" t="s">
        <v>435</v>
      </c>
      <c r="I111" t="s">
        <v>738</v>
      </c>
      <c r="L111" t="s">
        <v>739</v>
      </c>
      <c r="M111">
        <v>150</v>
      </c>
      <c r="N111" t="s">
        <v>54</v>
      </c>
      <c r="O111" t="s">
        <v>740</v>
      </c>
      <c r="P111" t="s">
        <v>36</v>
      </c>
      <c r="Q111" s="1">
        <v>1299199</v>
      </c>
      <c r="R111" s="1">
        <v>0</v>
      </c>
      <c r="S111" s="1">
        <v>0</v>
      </c>
      <c r="T111" s="1">
        <f t="shared" si="1"/>
        <v>1299199</v>
      </c>
      <c r="U111" t="s">
        <v>581</v>
      </c>
      <c r="V111" t="s">
        <v>603</v>
      </c>
      <c r="W111" s="1">
        <v>1299199</v>
      </c>
      <c r="X111" s="1">
        <v>1299199</v>
      </c>
      <c r="Y111" s="1">
        <v>1299199</v>
      </c>
      <c r="Z111" s="1">
        <v>1299199</v>
      </c>
      <c r="AA111" s="1">
        <v>1299199</v>
      </c>
      <c r="AB111" t="s">
        <v>604</v>
      </c>
    </row>
    <row r="112" spans="1:28">
      <c r="A112" t="s">
        <v>741</v>
      </c>
      <c r="B112" t="s">
        <v>435</v>
      </c>
      <c r="C112">
        <v>600891</v>
      </c>
      <c r="D112">
        <v>250</v>
      </c>
      <c r="E112" t="s">
        <v>90</v>
      </c>
      <c r="F112">
        <v>2014</v>
      </c>
      <c r="G112" t="s">
        <v>682</v>
      </c>
      <c r="H112" t="s">
        <v>435</v>
      </c>
      <c r="I112" t="s">
        <v>742</v>
      </c>
      <c r="L112" t="s">
        <v>743</v>
      </c>
      <c r="M112">
        <v>250</v>
      </c>
      <c r="N112" t="s">
        <v>189</v>
      </c>
      <c r="O112" t="s">
        <v>744</v>
      </c>
      <c r="P112" t="s">
        <v>36</v>
      </c>
      <c r="Q112" s="1">
        <v>1474087</v>
      </c>
      <c r="R112" s="1">
        <v>0</v>
      </c>
      <c r="S112" s="1">
        <v>0</v>
      </c>
      <c r="T112" s="1">
        <f t="shared" si="1"/>
        <v>1474087</v>
      </c>
      <c r="U112" t="s">
        <v>581</v>
      </c>
      <c r="V112" t="s">
        <v>745</v>
      </c>
      <c r="W112" s="1">
        <v>1474087</v>
      </c>
      <c r="X112" s="1">
        <v>1474087</v>
      </c>
      <c r="Y112" s="1">
        <v>1474087</v>
      </c>
      <c r="Z112" s="1">
        <v>1474087</v>
      </c>
      <c r="AA112" s="1">
        <v>1474087</v>
      </c>
      <c r="AB112" t="s">
        <v>604</v>
      </c>
    </row>
    <row r="113" spans="1:28">
      <c r="A113" t="s">
        <v>746</v>
      </c>
      <c r="B113" t="s">
        <v>435</v>
      </c>
      <c r="C113">
        <v>628502</v>
      </c>
      <c r="D113">
        <v>242</v>
      </c>
      <c r="E113" t="s">
        <v>69</v>
      </c>
      <c r="F113">
        <v>2013</v>
      </c>
      <c r="G113" t="s">
        <v>630</v>
      </c>
      <c r="H113" t="s">
        <v>435</v>
      </c>
      <c r="I113" t="s">
        <v>747</v>
      </c>
      <c r="L113" t="s">
        <v>748</v>
      </c>
      <c r="M113">
        <v>150</v>
      </c>
      <c r="N113" t="s">
        <v>189</v>
      </c>
      <c r="O113" t="s">
        <v>749</v>
      </c>
      <c r="P113" t="s">
        <v>36</v>
      </c>
      <c r="Q113" s="1">
        <v>1800000</v>
      </c>
      <c r="R113" s="1">
        <v>0</v>
      </c>
      <c r="S113" s="1">
        <v>0</v>
      </c>
      <c r="T113" s="1">
        <f t="shared" si="1"/>
        <v>1800000</v>
      </c>
      <c r="U113" t="s">
        <v>728</v>
      </c>
      <c r="V113" t="s">
        <v>750</v>
      </c>
      <c r="W113" s="1">
        <v>1800000</v>
      </c>
      <c r="X113" s="1">
        <v>1800000</v>
      </c>
      <c r="Y113" s="1">
        <v>1800000</v>
      </c>
      <c r="Z113" s="1">
        <v>1800000</v>
      </c>
      <c r="AA113" s="1">
        <v>1800000</v>
      </c>
      <c r="AB113" t="s">
        <v>751</v>
      </c>
    </row>
    <row r="114" spans="1:28">
      <c r="A114" t="s">
        <v>752</v>
      </c>
      <c r="B114" t="s">
        <v>435</v>
      </c>
      <c r="C114">
        <v>722941</v>
      </c>
      <c r="D114">
        <v>218</v>
      </c>
      <c r="E114" t="s">
        <v>69</v>
      </c>
      <c r="F114">
        <v>2014</v>
      </c>
      <c r="G114" t="s">
        <v>753</v>
      </c>
      <c r="H114" t="s">
        <v>435</v>
      </c>
      <c r="I114" t="s">
        <v>754</v>
      </c>
      <c r="M114">
        <v>198</v>
      </c>
      <c r="N114" t="s">
        <v>54</v>
      </c>
      <c r="O114" t="s">
        <v>755</v>
      </c>
      <c r="P114" t="s">
        <v>36</v>
      </c>
      <c r="Q114" s="1">
        <v>1795000</v>
      </c>
      <c r="R114" s="1">
        <v>0</v>
      </c>
      <c r="S114" s="1">
        <v>0</v>
      </c>
      <c r="T114" s="1">
        <f t="shared" si="1"/>
        <v>1795000</v>
      </c>
      <c r="U114" t="s">
        <v>728</v>
      </c>
      <c r="V114" t="s">
        <v>756</v>
      </c>
      <c r="W114" s="1">
        <v>1795000</v>
      </c>
      <c r="X114" s="1">
        <v>1795000</v>
      </c>
      <c r="Y114" s="1">
        <v>1795000</v>
      </c>
      <c r="Z114" s="1">
        <v>1795000</v>
      </c>
      <c r="AA114" s="1">
        <v>1795000</v>
      </c>
      <c r="AB114" t="s">
        <v>751</v>
      </c>
    </row>
    <row r="115" spans="1:28">
      <c r="A115" t="s">
        <v>757</v>
      </c>
      <c r="B115" t="s">
        <v>716</v>
      </c>
      <c r="C115">
        <v>911481</v>
      </c>
      <c r="D115">
        <v>177</v>
      </c>
      <c r="E115" t="s">
        <v>758</v>
      </c>
      <c r="F115">
        <v>2016</v>
      </c>
      <c r="G115" t="s">
        <v>759</v>
      </c>
      <c r="H115" t="s">
        <v>716</v>
      </c>
      <c r="I115" t="s">
        <v>760</v>
      </c>
      <c r="L115" t="s">
        <v>761</v>
      </c>
      <c r="M115">
        <v>250</v>
      </c>
      <c r="N115" t="s">
        <v>189</v>
      </c>
      <c r="O115" t="s">
        <v>63</v>
      </c>
      <c r="P115" t="s">
        <v>36</v>
      </c>
      <c r="Q115" s="1">
        <v>2160000</v>
      </c>
      <c r="R115" s="1">
        <v>0</v>
      </c>
      <c r="S115" s="1">
        <v>0</v>
      </c>
      <c r="T115" s="1">
        <f t="shared" si="1"/>
        <v>2160000</v>
      </c>
      <c r="U115" t="s">
        <v>762</v>
      </c>
      <c r="V115" t="s">
        <v>763</v>
      </c>
      <c r="W115" s="1">
        <v>2160000</v>
      </c>
      <c r="X115" s="1">
        <v>2160000</v>
      </c>
      <c r="Y115" s="1">
        <v>2160000</v>
      </c>
      <c r="Z115" s="1">
        <v>2160000</v>
      </c>
      <c r="AA115" s="1">
        <v>2160000</v>
      </c>
      <c r="AB115" t="s">
        <v>723</v>
      </c>
    </row>
    <row r="116" spans="1:28">
      <c r="A116" t="s">
        <v>764</v>
      </c>
      <c r="B116" t="s">
        <v>716</v>
      </c>
      <c r="C116">
        <v>919665</v>
      </c>
      <c r="D116">
        <v>176</v>
      </c>
      <c r="E116" t="s">
        <v>90</v>
      </c>
      <c r="F116">
        <v>2016</v>
      </c>
      <c r="G116" t="s">
        <v>765</v>
      </c>
      <c r="H116" t="s">
        <v>716</v>
      </c>
      <c r="I116" t="s">
        <v>766</v>
      </c>
      <c r="L116" t="s">
        <v>767</v>
      </c>
      <c r="N116" t="s">
        <v>189</v>
      </c>
      <c r="O116" t="s">
        <v>63</v>
      </c>
      <c r="Q116" s="1">
        <v>2800000</v>
      </c>
      <c r="R116" s="1">
        <v>0</v>
      </c>
      <c r="S116" s="1">
        <v>0</v>
      </c>
      <c r="T116" s="1">
        <f t="shared" si="1"/>
        <v>2800000</v>
      </c>
      <c r="U116" t="s">
        <v>768</v>
      </c>
      <c r="V116" t="s">
        <v>769</v>
      </c>
      <c r="W116" s="1">
        <v>2800000</v>
      </c>
      <c r="X116" s="1">
        <v>2800000</v>
      </c>
      <c r="Y116" s="1">
        <v>2800000</v>
      </c>
      <c r="Z116" s="1">
        <v>2800000</v>
      </c>
      <c r="AA116" s="1">
        <v>2800000</v>
      </c>
      <c r="AB116" t="s">
        <v>723</v>
      </c>
    </row>
    <row r="117" spans="1:28">
      <c r="A117" t="s">
        <v>770</v>
      </c>
      <c r="B117" t="s">
        <v>716</v>
      </c>
      <c r="C117">
        <v>1001133</v>
      </c>
      <c r="D117">
        <v>160</v>
      </c>
      <c r="E117" t="s">
        <v>90</v>
      </c>
      <c r="G117" t="s">
        <v>717</v>
      </c>
      <c r="H117" t="s">
        <v>716</v>
      </c>
      <c r="I117" t="s">
        <v>771</v>
      </c>
      <c r="J117" t="s">
        <v>772</v>
      </c>
      <c r="L117" t="s">
        <v>773</v>
      </c>
      <c r="M117">
        <v>150</v>
      </c>
      <c r="N117" t="s">
        <v>54</v>
      </c>
      <c r="O117" t="s">
        <v>63</v>
      </c>
      <c r="P117" t="s">
        <v>36</v>
      </c>
      <c r="Q117" s="1">
        <v>3200000</v>
      </c>
      <c r="R117" s="1">
        <v>0</v>
      </c>
      <c r="S117" s="1">
        <v>36750</v>
      </c>
      <c r="T117" s="1">
        <f t="shared" si="1"/>
        <v>3236750</v>
      </c>
      <c r="U117" t="s">
        <v>774</v>
      </c>
      <c r="V117" t="s">
        <v>775</v>
      </c>
      <c r="W117" s="1">
        <v>3236750</v>
      </c>
      <c r="X117" s="1">
        <v>3236750</v>
      </c>
      <c r="Y117" s="1">
        <v>3236750</v>
      </c>
      <c r="Z117" s="1">
        <v>3236750</v>
      </c>
      <c r="AA117" s="1">
        <v>3236750</v>
      </c>
      <c r="AB117" t="s">
        <v>723</v>
      </c>
    </row>
    <row r="118" spans="1:28">
      <c r="A118" t="s">
        <v>776</v>
      </c>
      <c r="B118" t="s">
        <v>716</v>
      </c>
      <c r="C118">
        <v>1076504</v>
      </c>
      <c r="D118">
        <v>147</v>
      </c>
      <c r="E118" t="s">
        <v>777</v>
      </c>
      <c r="F118">
        <v>2004</v>
      </c>
      <c r="G118" t="s">
        <v>759</v>
      </c>
      <c r="H118" t="s">
        <v>716</v>
      </c>
      <c r="I118" t="s">
        <v>778</v>
      </c>
      <c r="J118" t="s">
        <v>779</v>
      </c>
      <c r="M118">
        <v>150</v>
      </c>
      <c r="N118" t="s">
        <v>780</v>
      </c>
      <c r="O118" t="s">
        <v>781</v>
      </c>
      <c r="P118" t="s">
        <v>36</v>
      </c>
      <c r="Q118" s="1">
        <v>2550000</v>
      </c>
      <c r="R118" s="1">
        <v>0</v>
      </c>
      <c r="S118" s="1">
        <v>0</v>
      </c>
      <c r="T118" s="1">
        <f t="shared" si="1"/>
        <v>2550000</v>
      </c>
      <c r="U118" t="s">
        <v>782</v>
      </c>
      <c r="V118" t="s">
        <v>783</v>
      </c>
      <c r="W118" s="1">
        <v>2550000</v>
      </c>
      <c r="X118" s="1">
        <v>2550000</v>
      </c>
      <c r="Y118" s="1">
        <v>2550000</v>
      </c>
      <c r="Z118" s="1">
        <v>2550000</v>
      </c>
      <c r="AA118" s="1">
        <v>2550000</v>
      </c>
      <c r="AB118" t="s">
        <v>784</v>
      </c>
    </row>
    <row r="119" spans="1:28">
      <c r="A119" t="s">
        <v>785</v>
      </c>
      <c r="B119" t="s">
        <v>435</v>
      </c>
      <c r="C119">
        <v>1085133</v>
      </c>
      <c r="D119">
        <v>146</v>
      </c>
      <c r="E119" t="s">
        <v>786</v>
      </c>
      <c r="F119">
        <v>2008</v>
      </c>
      <c r="G119" t="s">
        <v>787</v>
      </c>
      <c r="H119" t="s">
        <v>435</v>
      </c>
      <c r="I119" t="s">
        <v>788</v>
      </c>
      <c r="M119">
        <v>250</v>
      </c>
      <c r="N119" t="s">
        <v>189</v>
      </c>
      <c r="O119" t="s">
        <v>789</v>
      </c>
      <c r="P119" t="s">
        <v>36</v>
      </c>
      <c r="Q119" s="1">
        <v>1620000</v>
      </c>
      <c r="R119" s="1">
        <v>0</v>
      </c>
      <c r="S119" s="1">
        <v>0</v>
      </c>
      <c r="T119" s="1">
        <f t="shared" si="1"/>
        <v>1620000</v>
      </c>
      <c r="U119" t="s">
        <v>728</v>
      </c>
      <c r="V119" t="s">
        <v>790</v>
      </c>
      <c r="W119" s="1">
        <v>1620000</v>
      </c>
      <c r="X119" s="1">
        <v>1620000</v>
      </c>
      <c r="Y119" s="1">
        <v>1620000</v>
      </c>
      <c r="Z119" s="1">
        <v>1620000</v>
      </c>
      <c r="AA119" s="1">
        <v>1620000</v>
      </c>
      <c r="AB119" t="s">
        <v>791</v>
      </c>
    </row>
    <row r="120" spans="1:28">
      <c r="A120" t="s">
        <v>792</v>
      </c>
      <c r="B120" t="s">
        <v>716</v>
      </c>
      <c r="C120">
        <v>1117630</v>
      </c>
      <c r="D120">
        <v>141</v>
      </c>
      <c r="E120" t="s">
        <v>90</v>
      </c>
      <c r="F120">
        <v>2021</v>
      </c>
      <c r="G120" t="s">
        <v>793</v>
      </c>
      <c r="H120" t="s">
        <v>716</v>
      </c>
      <c r="I120" t="s">
        <v>794</v>
      </c>
      <c r="L120" t="s">
        <v>795</v>
      </c>
      <c r="N120" t="s">
        <v>54</v>
      </c>
      <c r="O120" t="s">
        <v>63</v>
      </c>
      <c r="Q120" s="1">
        <v>1490000</v>
      </c>
      <c r="R120" s="1">
        <v>0</v>
      </c>
      <c r="S120" s="1">
        <v>0</v>
      </c>
      <c r="T120" s="1">
        <f t="shared" si="1"/>
        <v>1490000</v>
      </c>
      <c r="U120" t="s">
        <v>796</v>
      </c>
      <c r="V120" t="s">
        <v>797</v>
      </c>
      <c r="W120" s="1">
        <v>1490000</v>
      </c>
      <c r="X120" s="1">
        <v>1490000</v>
      </c>
      <c r="Y120" s="1">
        <v>1490000</v>
      </c>
      <c r="Z120" s="1">
        <v>1490000</v>
      </c>
      <c r="AA120" s="1">
        <v>1490000</v>
      </c>
      <c r="AB120" t="s">
        <v>723</v>
      </c>
    </row>
    <row r="121" spans="1:28">
      <c r="A121" t="s">
        <v>798</v>
      </c>
      <c r="B121" t="s">
        <v>716</v>
      </c>
      <c r="C121">
        <v>1267561</v>
      </c>
      <c r="D121">
        <v>119</v>
      </c>
      <c r="E121" t="s">
        <v>90</v>
      </c>
      <c r="F121">
        <v>2001</v>
      </c>
      <c r="G121" t="s">
        <v>759</v>
      </c>
      <c r="H121" t="s">
        <v>716</v>
      </c>
      <c r="I121" t="s">
        <v>799</v>
      </c>
      <c r="J121" t="s">
        <v>800</v>
      </c>
      <c r="K121" t="s">
        <v>801</v>
      </c>
      <c r="L121" t="s">
        <v>802</v>
      </c>
      <c r="M121">
        <v>250</v>
      </c>
      <c r="N121" t="s">
        <v>803</v>
      </c>
      <c r="O121" t="s">
        <v>63</v>
      </c>
      <c r="P121" t="s">
        <v>36</v>
      </c>
      <c r="Q121" s="1">
        <v>2675000</v>
      </c>
      <c r="R121" s="1">
        <v>0</v>
      </c>
      <c r="S121" s="1">
        <v>0</v>
      </c>
      <c r="T121" s="1">
        <f t="shared" si="1"/>
        <v>2675000</v>
      </c>
      <c r="U121" t="s">
        <v>768</v>
      </c>
      <c r="V121" t="s">
        <v>804</v>
      </c>
      <c r="W121" s="1">
        <v>2675000</v>
      </c>
      <c r="X121" s="1">
        <v>2675000</v>
      </c>
      <c r="Y121" s="1">
        <v>2675000</v>
      </c>
      <c r="Z121" s="1">
        <v>2675000</v>
      </c>
      <c r="AA121" s="1">
        <v>2675000</v>
      </c>
      <c r="AB121" t="s">
        <v>723</v>
      </c>
    </row>
    <row r="122" spans="1:28">
      <c r="A122" t="s">
        <v>805</v>
      </c>
      <c r="B122" t="s">
        <v>716</v>
      </c>
      <c r="C122">
        <v>1268204</v>
      </c>
      <c r="D122">
        <v>119</v>
      </c>
      <c r="E122" t="s">
        <v>90</v>
      </c>
      <c r="F122">
        <v>2024</v>
      </c>
      <c r="G122" t="s">
        <v>806</v>
      </c>
      <c r="H122" t="s">
        <v>716</v>
      </c>
      <c r="I122" t="s">
        <v>807</v>
      </c>
      <c r="N122" t="s">
        <v>54</v>
      </c>
      <c r="O122" t="s">
        <v>808</v>
      </c>
      <c r="P122" t="s">
        <v>36</v>
      </c>
      <c r="Q122" s="1">
        <v>2820000</v>
      </c>
      <c r="R122" s="1">
        <v>0</v>
      </c>
      <c r="S122" s="1">
        <v>0</v>
      </c>
      <c r="T122" s="1">
        <f t="shared" si="1"/>
        <v>2820000</v>
      </c>
      <c r="U122" t="s">
        <v>768</v>
      </c>
      <c r="V122" t="s">
        <v>809</v>
      </c>
      <c r="W122" s="1">
        <v>2820000</v>
      </c>
      <c r="X122" s="1">
        <v>2820000</v>
      </c>
      <c r="Y122" s="1">
        <v>2820000</v>
      </c>
      <c r="Z122" s="1">
        <v>2820000</v>
      </c>
      <c r="AA122" s="1">
        <v>2820000</v>
      </c>
      <c r="AB122" t="s">
        <v>723</v>
      </c>
    </row>
    <row r="123" spans="1:28">
      <c r="A123" t="s">
        <v>810</v>
      </c>
      <c r="B123" t="s">
        <v>716</v>
      </c>
      <c r="C123">
        <v>1291243</v>
      </c>
      <c r="D123">
        <v>166</v>
      </c>
      <c r="E123" t="s">
        <v>90</v>
      </c>
      <c r="F123">
        <v>2024</v>
      </c>
      <c r="G123" t="s">
        <v>811</v>
      </c>
      <c r="H123" t="s">
        <v>716</v>
      </c>
      <c r="I123" t="s">
        <v>812</v>
      </c>
      <c r="L123" t="s">
        <v>813</v>
      </c>
      <c r="M123">
        <v>100</v>
      </c>
      <c r="N123" t="s">
        <v>54</v>
      </c>
      <c r="O123" t="s">
        <v>63</v>
      </c>
      <c r="Q123" s="1"/>
      <c r="R123" s="1"/>
      <c r="S123" s="1"/>
      <c r="T123" s="1" t="str">
        <f t="shared" si="1"/>
        <v/>
      </c>
      <c r="V123" t="s">
        <v>814</v>
      </c>
      <c r="W123" s="1"/>
      <c r="X123" s="1"/>
      <c r="Y123" s="1"/>
      <c r="Z123" s="1"/>
      <c r="AA123" s="1"/>
      <c r="AB123" t="s">
        <v>815</v>
      </c>
    </row>
    <row r="124" spans="1:28">
      <c r="A124" t="s">
        <v>816</v>
      </c>
      <c r="B124" t="s">
        <v>716</v>
      </c>
      <c r="C124">
        <v>1296229</v>
      </c>
      <c r="D124">
        <v>116</v>
      </c>
      <c r="E124" t="s">
        <v>90</v>
      </c>
      <c r="F124">
        <v>2015</v>
      </c>
      <c r="G124" t="s">
        <v>717</v>
      </c>
      <c r="H124" t="s">
        <v>716</v>
      </c>
      <c r="I124" t="s">
        <v>817</v>
      </c>
      <c r="M124">
        <v>200</v>
      </c>
      <c r="N124" t="s">
        <v>189</v>
      </c>
      <c r="O124" t="s">
        <v>818</v>
      </c>
      <c r="Q124" s="1">
        <v>1500000</v>
      </c>
      <c r="R124" s="1">
        <v>0</v>
      </c>
      <c r="S124" s="1">
        <v>0</v>
      </c>
      <c r="T124" s="1">
        <f t="shared" si="1"/>
        <v>1500000</v>
      </c>
      <c r="U124" t="s">
        <v>819</v>
      </c>
      <c r="V124" t="s">
        <v>820</v>
      </c>
      <c r="W124" s="1">
        <v>1500000</v>
      </c>
      <c r="X124" s="1">
        <v>1500000</v>
      </c>
      <c r="Y124" s="1">
        <v>1500000</v>
      </c>
      <c r="Z124" s="1">
        <v>1500000</v>
      </c>
      <c r="AA124" s="1">
        <v>1500000</v>
      </c>
      <c r="AB124" t="s">
        <v>723</v>
      </c>
    </row>
    <row r="125" spans="1:28">
      <c r="A125" t="s">
        <v>821</v>
      </c>
      <c r="B125" t="s">
        <v>716</v>
      </c>
      <c r="C125">
        <v>1307816</v>
      </c>
      <c r="D125">
        <v>115</v>
      </c>
      <c r="E125" t="s">
        <v>90</v>
      </c>
      <c r="F125">
        <v>2024</v>
      </c>
      <c r="G125" t="s">
        <v>811</v>
      </c>
      <c r="H125" t="s">
        <v>716</v>
      </c>
      <c r="I125" t="s">
        <v>822</v>
      </c>
      <c r="L125" t="s">
        <v>823</v>
      </c>
      <c r="M125">
        <v>150</v>
      </c>
      <c r="N125" t="s">
        <v>54</v>
      </c>
      <c r="O125" t="s">
        <v>824</v>
      </c>
      <c r="P125" t="s">
        <v>36</v>
      </c>
      <c r="Q125" s="1">
        <v>3115000</v>
      </c>
      <c r="R125" s="1">
        <v>0</v>
      </c>
      <c r="S125" s="1">
        <v>0</v>
      </c>
      <c r="T125" s="1">
        <f t="shared" si="1"/>
        <v>3115000</v>
      </c>
      <c r="U125" t="s">
        <v>768</v>
      </c>
      <c r="V125" t="s">
        <v>825</v>
      </c>
      <c r="W125" s="1">
        <v>3115000</v>
      </c>
      <c r="X125" s="1">
        <v>3115000</v>
      </c>
      <c r="Y125" s="1">
        <v>3115000</v>
      </c>
      <c r="Z125" s="1">
        <v>3115000</v>
      </c>
      <c r="AA125" s="1">
        <v>3115000</v>
      </c>
      <c r="AB125" t="s">
        <v>723</v>
      </c>
    </row>
    <row r="126" spans="1:28">
      <c r="A126" t="s">
        <v>826</v>
      </c>
      <c r="B126" t="s">
        <v>716</v>
      </c>
      <c r="C126">
        <v>1314408</v>
      </c>
      <c r="D126">
        <v>113</v>
      </c>
      <c r="E126" t="s">
        <v>90</v>
      </c>
      <c r="F126">
        <v>2014</v>
      </c>
      <c r="G126" t="s">
        <v>717</v>
      </c>
      <c r="H126" t="s">
        <v>716</v>
      </c>
      <c r="I126" t="s">
        <v>827</v>
      </c>
      <c r="J126" t="s">
        <v>828</v>
      </c>
      <c r="M126">
        <v>150</v>
      </c>
      <c r="N126" t="s">
        <v>189</v>
      </c>
      <c r="O126" t="s">
        <v>829</v>
      </c>
      <c r="P126" t="s">
        <v>36</v>
      </c>
      <c r="Q126" s="1">
        <v>2850000</v>
      </c>
      <c r="R126" s="1">
        <v>0</v>
      </c>
      <c r="S126" s="1">
        <v>0</v>
      </c>
      <c r="T126" s="1">
        <f t="shared" si="1"/>
        <v>2850000</v>
      </c>
      <c r="U126" t="s">
        <v>768</v>
      </c>
      <c r="V126" t="s">
        <v>830</v>
      </c>
      <c r="W126" s="1">
        <v>2850000</v>
      </c>
      <c r="X126" s="1">
        <v>2850000</v>
      </c>
      <c r="Y126" s="1">
        <v>2850000</v>
      </c>
      <c r="Z126" s="1">
        <v>2850000</v>
      </c>
      <c r="AA126" s="1">
        <v>2850000</v>
      </c>
      <c r="AB126" t="s">
        <v>723</v>
      </c>
    </row>
    <row r="127" spans="1:28">
      <c r="A127" t="s">
        <v>831</v>
      </c>
      <c r="B127" t="s">
        <v>435</v>
      </c>
      <c r="C127">
        <v>6699854</v>
      </c>
      <c r="D127">
        <v>231</v>
      </c>
      <c r="E127" t="s">
        <v>69</v>
      </c>
      <c r="F127">
        <v>2011</v>
      </c>
      <c r="G127" t="s">
        <v>630</v>
      </c>
      <c r="H127" t="s">
        <v>435</v>
      </c>
      <c r="I127" t="s">
        <v>832</v>
      </c>
      <c r="L127" t="s">
        <v>833</v>
      </c>
      <c r="M127">
        <v>150</v>
      </c>
      <c r="N127" t="s">
        <v>54</v>
      </c>
      <c r="O127" t="s">
        <v>834</v>
      </c>
      <c r="P127" t="s">
        <v>36</v>
      </c>
      <c r="Q127" s="1">
        <v>1650000</v>
      </c>
      <c r="R127" s="1">
        <v>0</v>
      </c>
      <c r="S127" s="1">
        <v>0</v>
      </c>
      <c r="T127" s="1">
        <f t="shared" si="1"/>
        <v>1650000</v>
      </c>
      <c r="U127" t="s">
        <v>728</v>
      </c>
      <c r="V127" t="s">
        <v>835</v>
      </c>
      <c r="W127" s="1">
        <v>1650000</v>
      </c>
      <c r="X127" s="1">
        <v>1650000</v>
      </c>
      <c r="Y127" s="1">
        <v>1650000</v>
      </c>
      <c r="Z127" s="1">
        <v>1650000</v>
      </c>
      <c r="AA127" s="1">
        <v>1650000</v>
      </c>
      <c r="AB127" t="s">
        <v>751</v>
      </c>
    </row>
    <row r="128" spans="1:28">
      <c r="A128" t="s">
        <v>836</v>
      </c>
      <c r="B128" t="s">
        <v>837</v>
      </c>
      <c r="C128">
        <v>143044</v>
      </c>
      <c r="D128">
        <v>437</v>
      </c>
      <c r="E128" t="s">
        <v>90</v>
      </c>
      <c r="F128">
        <v>2003</v>
      </c>
      <c r="G128" t="s">
        <v>838</v>
      </c>
      <c r="H128" t="s">
        <v>837</v>
      </c>
      <c r="I128" t="s">
        <v>839</v>
      </c>
      <c r="L128" t="s">
        <v>840</v>
      </c>
      <c r="M128">
        <v>200</v>
      </c>
      <c r="N128" t="s">
        <v>54</v>
      </c>
      <c r="Q128" s="1">
        <v>1320000</v>
      </c>
      <c r="R128" s="1">
        <v>0</v>
      </c>
      <c r="S128" s="1">
        <v>0</v>
      </c>
      <c r="T128" s="1">
        <f t="shared" si="1"/>
        <v>1320000</v>
      </c>
      <c r="U128" t="s">
        <v>841</v>
      </c>
      <c r="V128" t="s">
        <v>842</v>
      </c>
      <c r="W128" s="1">
        <v>1320000</v>
      </c>
      <c r="X128" s="1">
        <v>1320000</v>
      </c>
      <c r="Y128" s="1">
        <v>1320000</v>
      </c>
      <c r="Z128" s="1">
        <v>1320000</v>
      </c>
      <c r="AA128" s="1">
        <v>1320000</v>
      </c>
      <c r="AB128" t="s">
        <v>843</v>
      </c>
    </row>
    <row r="129" spans="1:28">
      <c r="A129" t="s">
        <v>844</v>
      </c>
      <c r="B129" t="s">
        <v>837</v>
      </c>
      <c r="C129">
        <v>127250</v>
      </c>
      <c r="D129">
        <v>447</v>
      </c>
      <c r="E129" t="s">
        <v>90</v>
      </c>
      <c r="F129">
        <v>1999</v>
      </c>
      <c r="G129" t="s">
        <v>845</v>
      </c>
      <c r="H129" t="s">
        <v>837</v>
      </c>
      <c r="I129" t="s">
        <v>846</v>
      </c>
      <c r="L129" t="s">
        <v>847</v>
      </c>
      <c r="M129">
        <v>250</v>
      </c>
      <c r="N129" t="s">
        <v>359</v>
      </c>
      <c r="O129" t="s">
        <v>848</v>
      </c>
      <c r="Q129" s="1">
        <v>1320000</v>
      </c>
      <c r="R129" s="1">
        <v>0</v>
      </c>
      <c r="S129" s="1">
        <v>0</v>
      </c>
      <c r="T129" s="1">
        <f t="shared" si="1"/>
        <v>1320000</v>
      </c>
      <c r="U129" t="s">
        <v>841</v>
      </c>
      <c r="V129" t="s">
        <v>849</v>
      </c>
      <c r="W129" s="1">
        <v>1320000</v>
      </c>
      <c r="X129" s="1">
        <v>1320000</v>
      </c>
      <c r="Y129" s="1">
        <v>1320000</v>
      </c>
      <c r="Z129" s="1">
        <v>1320000</v>
      </c>
      <c r="AA129" s="1">
        <v>1320000</v>
      </c>
      <c r="AB129" t="s">
        <v>843</v>
      </c>
    </row>
    <row r="130" spans="1:28">
      <c r="A130" t="s">
        <v>850</v>
      </c>
      <c r="B130" t="s">
        <v>837</v>
      </c>
      <c r="C130">
        <v>116095</v>
      </c>
      <c r="D130">
        <v>454</v>
      </c>
      <c r="E130" t="s">
        <v>90</v>
      </c>
      <c r="F130">
        <v>2015</v>
      </c>
      <c r="G130" t="s">
        <v>851</v>
      </c>
      <c r="H130" t="s">
        <v>837</v>
      </c>
      <c r="I130" t="s">
        <v>852</v>
      </c>
      <c r="L130" t="s">
        <v>853</v>
      </c>
      <c r="M130">
        <v>150</v>
      </c>
      <c r="N130" t="s">
        <v>54</v>
      </c>
      <c r="O130" t="s">
        <v>854</v>
      </c>
      <c r="Q130" s="1">
        <v>1320000</v>
      </c>
      <c r="R130" s="1">
        <v>0</v>
      </c>
      <c r="S130" s="1">
        <v>0</v>
      </c>
      <c r="T130" s="1">
        <f t="shared" ref="T130:T144" si="2">IF(COUNT(Q130:S130)=0,"",SUM(Q130:S130))</f>
        <v>1320000</v>
      </c>
      <c r="U130" t="s">
        <v>841</v>
      </c>
      <c r="V130" t="s">
        <v>849</v>
      </c>
      <c r="W130" s="1">
        <v>1320000</v>
      </c>
      <c r="X130" s="1">
        <v>1320000</v>
      </c>
      <c r="Y130" s="1">
        <v>1320000</v>
      </c>
      <c r="Z130" s="1">
        <v>1320000</v>
      </c>
      <c r="AA130" s="1">
        <v>1320000</v>
      </c>
      <c r="AB130" t="s">
        <v>843</v>
      </c>
    </row>
    <row r="131" spans="1:28">
      <c r="A131" t="s">
        <v>855</v>
      </c>
      <c r="B131" t="s">
        <v>837</v>
      </c>
      <c r="C131">
        <v>154843</v>
      </c>
      <c r="D131">
        <v>430</v>
      </c>
      <c r="E131" t="s">
        <v>90</v>
      </c>
      <c r="F131">
        <v>1999</v>
      </c>
      <c r="G131" t="s">
        <v>856</v>
      </c>
      <c r="H131" t="s">
        <v>837</v>
      </c>
      <c r="I131" t="s">
        <v>857</v>
      </c>
      <c r="J131" t="s">
        <v>858</v>
      </c>
      <c r="K131" t="s">
        <v>859</v>
      </c>
      <c r="L131" t="s">
        <v>860</v>
      </c>
      <c r="M131">
        <v>150</v>
      </c>
      <c r="N131" t="s">
        <v>861</v>
      </c>
      <c r="O131" t="s">
        <v>862</v>
      </c>
      <c r="Q131" s="1">
        <v>1320000</v>
      </c>
      <c r="R131" s="1">
        <v>0</v>
      </c>
      <c r="S131" s="1">
        <v>0</v>
      </c>
      <c r="T131" s="1">
        <f t="shared" si="2"/>
        <v>1320000</v>
      </c>
      <c r="U131" t="s">
        <v>841</v>
      </c>
      <c r="V131" t="s">
        <v>849</v>
      </c>
      <c r="W131" s="1">
        <v>1320000</v>
      </c>
      <c r="X131" s="1">
        <v>1320000</v>
      </c>
      <c r="Y131" s="1">
        <v>1320000</v>
      </c>
      <c r="Z131" s="1">
        <v>1320000</v>
      </c>
      <c r="AA131" s="1">
        <v>1320000</v>
      </c>
      <c r="AB131" t="s">
        <v>843</v>
      </c>
    </row>
    <row r="132" spans="1:28">
      <c r="A132" t="s">
        <v>863</v>
      </c>
      <c r="B132" t="s">
        <v>837</v>
      </c>
      <c r="C132">
        <v>150084</v>
      </c>
      <c r="D132">
        <v>433</v>
      </c>
      <c r="E132" t="s">
        <v>90</v>
      </c>
      <c r="F132">
        <v>2002</v>
      </c>
      <c r="G132" t="s">
        <v>864</v>
      </c>
      <c r="H132" t="s">
        <v>837</v>
      </c>
      <c r="I132" t="s">
        <v>865</v>
      </c>
      <c r="L132" t="s">
        <v>866</v>
      </c>
      <c r="N132" t="s">
        <v>189</v>
      </c>
      <c r="O132" t="s">
        <v>867</v>
      </c>
      <c r="Q132" s="1">
        <v>1320000</v>
      </c>
      <c r="R132" s="1">
        <v>0</v>
      </c>
      <c r="S132" s="1">
        <v>0</v>
      </c>
      <c r="T132" s="1">
        <f t="shared" si="2"/>
        <v>1320000</v>
      </c>
      <c r="U132" t="s">
        <v>841</v>
      </c>
      <c r="V132" t="s">
        <v>868</v>
      </c>
      <c r="W132" s="1">
        <v>1320000</v>
      </c>
      <c r="X132" s="1">
        <v>1320000</v>
      </c>
      <c r="Y132" s="1">
        <v>1320000</v>
      </c>
      <c r="Z132" s="1">
        <v>1320000</v>
      </c>
      <c r="AA132" s="1">
        <v>1320000</v>
      </c>
      <c r="AB132" t="s">
        <v>843</v>
      </c>
    </row>
    <row r="133" spans="1:28">
      <c r="A133" t="s">
        <v>869</v>
      </c>
      <c r="B133" t="s">
        <v>837</v>
      </c>
      <c r="C133">
        <v>189662</v>
      </c>
      <c r="D133">
        <v>411</v>
      </c>
      <c r="E133" t="s">
        <v>90</v>
      </c>
      <c r="F133">
        <v>2002</v>
      </c>
      <c r="G133" t="s">
        <v>870</v>
      </c>
      <c r="H133" t="s">
        <v>837</v>
      </c>
      <c r="I133" t="s">
        <v>871</v>
      </c>
      <c r="J133" t="s">
        <v>872</v>
      </c>
      <c r="K133" t="s">
        <v>873</v>
      </c>
      <c r="L133" t="s">
        <v>874</v>
      </c>
      <c r="M133">
        <v>200</v>
      </c>
      <c r="N133" t="s">
        <v>54</v>
      </c>
      <c r="Q133" s="1">
        <v>1320000</v>
      </c>
      <c r="R133" s="1">
        <v>0</v>
      </c>
      <c r="S133" s="1">
        <v>0</v>
      </c>
      <c r="T133" s="1">
        <f t="shared" si="2"/>
        <v>1320000</v>
      </c>
      <c r="U133" t="s">
        <v>841</v>
      </c>
      <c r="V133" t="s">
        <v>849</v>
      </c>
      <c r="W133" s="1">
        <v>1320000</v>
      </c>
      <c r="X133" s="1">
        <v>1320000</v>
      </c>
      <c r="Y133" s="1">
        <v>1320000</v>
      </c>
      <c r="Z133" s="1">
        <v>1320000</v>
      </c>
      <c r="AA133" s="1">
        <v>1320000</v>
      </c>
      <c r="AB133" t="s">
        <v>843</v>
      </c>
    </row>
    <row r="134" spans="1:28">
      <c r="A134" t="s">
        <v>875</v>
      </c>
      <c r="B134" t="s">
        <v>837</v>
      </c>
      <c r="C134">
        <v>235044</v>
      </c>
      <c r="D134">
        <v>387</v>
      </c>
      <c r="E134" t="s">
        <v>90</v>
      </c>
      <c r="F134">
        <v>2012</v>
      </c>
      <c r="G134" t="s">
        <v>876</v>
      </c>
      <c r="H134" t="s">
        <v>837</v>
      </c>
      <c r="I134" t="s">
        <v>877</v>
      </c>
      <c r="L134" t="s">
        <v>878</v>
      </c>
      <c r="M134">
        <v>150</v>
      </c>
      <c r="N134" t="s">
        <v>189</v>
      </c>
      <c r="Q134" s="1">
        <v>1320000</v>
      </c>
      <c r="R134" s="1">
        <v>0</v>
      </c>
      <c r="S134" s="1">
        <v>0</v>
      </c>
      <c r="T134" s="1">
        <f t="shared" si="2"/>
        <v>1320000</v>
      </c>
      <c r="U134" t="s">
        <v>841</v>
      </c>
      <c r="V134" t="s">
        <v>849</v>
      </c>
      <c r="W134" s="1">
        <v>1320000</v>
      </c>
      <c r="X134" s="1">
        <v>1320000</v>
      </c>
      <c r="Y134" s="1">
        <v>1320000</v>
      </c>
      <c r="Z134" s="1">
        <v>1320000</v>
      </c>
      <c r="AA134" s="1">
        <v>1320000</v>
      </c>
      <c r="AB134" t="s">
        <v>843</v>
      </c>
    </row>
    <row r="135" spans="1:28">
      <c r="A135" t="s">
        <v>879</v>
      </c>
      <c r="B135" t="s">
        <v>837</v>
      </c>
      <c r="C135">
        <v>199997</v>
      </c>
      <c r="D135">
        <v>405</v>
      </c>
      <c r="E135" t="s">
        <v>90</v>
      </c>
      <c r="F135">
        <v>1997</v>
      </c>
      <c r="G135" t="s">
        <v>838</v>
      </c>
      <c r="H135" t="s">
        <v>837</v>
      </c>
      <c r="I135" t="s">
        <v>880</v>
      </c>
      <c r="J135" t="s">
        <v>881</v>
      </c>
      <c r="K135" t="s">
        <v>882</v>
      </c>
      <c r="L135" t="s">
        <v>883</v>
      </c>
      <c r="M135">
        <v>150</v>
      </c>
      <c r="N135" t="s">
        <v>884</v>
      </c>
      <c r="Q135" s="1">
        <v>1320000</v>
      </c>
      <c r="R135" s="1">
        <v>0</v>
      </c>
      <c r="S135" s="1">
        <v>0</v>
      </c>
      <c r="T135" s="1">
        <f t="shared" si="2"/>
        <v>1320000</v>
      </c>
      <c r="U135" t="s">
        <v>841</v>
      </c>
      <c r="V135" t="s">
        <v>849</v>
      </c>
      <c r="W135" s="1">
        <v>1320000</v>
      </c>
      <c r="X135" s="1">
        <v>1320000</v>
      </c>
      <c r="Y135" s="1">
        <v>1320000</v>
      </c>
      <c r="Z135" s="1">
        <v>1320000</v>
      </c>
      <c r="AA135" s="1">
        <v>1320000</v>
      </c>
      <c r="AB135" t="s">
        <v>843</v>
      </c>
    </row>
    <row r="136" spans="1:28">
      <c r="A136" t="s">
        <v>885</v>
      </c>
      <c r="B136" t="s">
        <v>837</v>
      </c>
      <c r="C136">
        <v>122664</v>
      </c>
      <c r="D136">
        <v>450</v>
      </c>
      <c r="E136" t="s">
        <v>90</v>
      </c>
      <c r="F136">
        <v>2001</v>
      </c>
      <c r="G136" t="s">
        <v>886</v>
      </c>
      <c r="H136" t="s">
        <v>837</v>
      </c>
      <c r="I136" t="s">
        <v>887</v>
      </c>
      <c r="J136" t="s">
        <v>888</v>
      </c>
      <c r="K136" t="s">
        <v>889</v>
      </c>
      <c r="L136" t="s">
        <v>890</v>
      </c>
      <c r="M136">
        <v>150</v>
      </c>
      <c r="N136" t="s">
        <v>54</v>
      </c>
      <c r="O136" t="s">
        <v>891</v>
      </c>
      <c r="Q136" s="1">
        <v>1320000</v>
      </c>
      <c r="R136" s="1">
        <v>0</v>
      </c>
      <c r="S136" s="1">
        <v>0</v>
      </c>
      <c r="T136" s="1">
        <f t="shared" si="2"/>
        <v>1320000</v>
      </c>
      <c r="U136" t="s">
        <v>841</v>
      </c>
      <c r="V136" t="s">
        <v>849</v>
      </c>
      <c r="W136" s="1">
        <v>1320000</v>
      </c>
      <c r="X136" s="1">
        <v>1320000</v>
      </c>
      <c r="Y136" s="1">
        <v>1320000</v>
      </c>
      <c r="Z136" s="1">
        <v>1320000</v>
      </c>
      <c r="AA136" s="1">
        <v>1320000</v>
      </c>
      <c r="AB136" t="s">
        <v>843</v>
      </c>
    </row>
    <row r="137" spans="1:28">
      <c r="A137" t="s">
        <v>892</v>
      </c>
      <c r="B137" t="s">
        <v>837</v>
      </c>
      <c r="C137">
        <v>204510</v>
      </c>
      <c r="D137">
        <v>403</v>
      </c>
      <c r="E137" t="s">
        <v>90</v>
      </c>
      <c r="F137">
        <v>2005</v>
      </c>
      <c r="G137" t="s">
        <v>893</v>
      </c>
      <c r="H137" t="s">
        <v>837</v>
      </c>
      <c r="I137" t="s">
        <v>894</v>
      </c>
      <c r="M137">
        <v>150</v>
      </c>
      <c r="N137" t="s">
        <v>54</v>
      </c>
      <c r="Q137" s="1">
        <v>1320000</v>
      </c>
      <c r="R137" s="1">
        <v>0</v>
      </c>
      <c r="S137" s="1">
        <v>0</v>
      </c>
      <c r="T137" s="1">
        <f t="shared" si="2"/>
        <v>1320000</v>
      </c>
      <c r="U137" t="s">
        <v>841</v>
      </c>
      <c r="V137" t="s">
        <v>849</v>
      </c>
      <c r="W137" s="1">
        <v>1320000</v>
      </c>
      <c r="X137" s="1">
        <v>1320000</v>
      </c>
      <c r="Y137" s="1">
        <v>1320000</v>
      </c>
      <c r="Z137" s="1">
        <v>1320000</v>
      </c>
      <c r="AA137" s="1">
        <v>1320000</v>
      </c>
      <c r="AB137" t="s">
        <v>843</v>
      </c>
    </row>
    <row r="138" spans="1:28">
      <c r="A138" t="s">
        <v>895</v>
      </c>
      <c r="B138" t="s">
        <v>837</v>
      </c>
      <c r="C138">
        <v>165521</v>
      </c>
      <c r="D138">
        <v>424</v>
      </c>
      <c r="E138" t="s">
        <v>90</v>
      </c>
      <c r="F138">
        <v>2010</v>
      </c>
      <c r="G138" t="s">
        <v>896</v>
      </c>
      <c r="H138" t="s">
        <v>837</v>
      </c>
      <c r="I138" t="s">
        <v>897</v>
      </c>
      <c r="J138" t="s">
        <v>898</v>
      </c>
      <c r="K138" t="s">
        <v>899</v>
      </c>
      <c r="L138" t="s">
        <v>900</v>
      </c>
      <c r="M138">
        <v>150</v>
      </c>
      <c r="N138" t="s">
        <v>54</v>
      </c>
      <c r="Q138" s="1">
        <v>1320000</v>
      </c>
      <c r="R138" s="1">
        <v>0</v>
      </c>
      <c r="S138" s="1">
        <v>0</v>
      </c>
      <c r="T138" s="1">
        <f t="shared" si="2"/>
        <v>1320000</v>
      </c>
      <c r="U138" t="s">
        <v>841</v>
      </c>
      <c r="V138" t="s">
        <v>849</v>
      </c>
      <c r="W138" s="1">
        <v>1320000</v>
      </c>
      <c r="X138" s="1">
        <v>1320000</v>
      </c>
      <c r="Y138" s="1">
        <v>1320000</v>
      </c>
      <c r="Z138" s="1">
        <v>1320000</v>
      </c>
      <c r="AA138" s="1">
        <v>1320000</v>
      </c>
      <c r="AB138" t="s">
        <v>843</v>
      </c>
    </row>
    <row r="139" spans="1:28">
      <c r="A139" t="s">
        <v>901</v>
      </c>
      <c r="B139" t="s">
        <v>837</v>
      </c>
      <c r="C139">
        <v>245870</v>
      </c>
      <c r="D139">
        <v>382</v>
      </c>
      <c r="E139" t="s">
        <v>90</v>
      </c>
      <c r="F139">
        <v>2014</v>
      </c>
      <c r="G139" t="s">
        <v>902</v>
      </c>
      <c r="H139" t="s">
        <v>837</v>
      </c>
      <c r="I139" t="s">
        <v>903</v>
      </c>
      <c r="M139">
        <v>150</v>
      </c>
      <c r="N139" t="s">
        <v>54</v>
      </c>
      <c r="O139" t="s">
        <v>904</v>
      </c>
      <c r="P139" t="s">
        <v>36</v>
      </c>
      <c r="Q139" s="1">
        <v>1320000</v>
      </c>
      <c r="R139" s="1">
        <v>0</v>
      </c>
      <c r="S139" s="1">
        <v>0</v>
      </c>
      <c r="T139" s="1">
        <f t="shared" si="2"/>
        <v>1320000</v>
      </c>
      <c r="U139" t="s">
        <v>841</v>
      </c>
      <c r="V139" t="s">
        <v>849</v>
      </c>
      <c r="W139" s="1">
        <v>1320000</v>
      </c>
      <c r="X139" s="1">
        <v>1320000</v>
      </c>
      <c r="Y139" s="1">
        <v>1320000</v>
      </c>
      <c r="Z139" s="1">
        <v>1320000</v>
      </c>
      <c r="AA139" s="1">
        <v>1320000</v>
      </c>
      <c r="AB139" t="s">
        <v>843</v>
      </c>
    </row>
    <row r="140" spans="1:28">
      <c r="A140" t="s">
        <v>905</v>
      </c>
      <c r="B140" t="s">
        <v>837</v>
      </c>
      <c r="C140">
        <v>223925</v>
      </c>
      <c r="D140">
        <v>393</v>
      </c>
      <c r="E140" t="s">
        <v>90</v>
      </c>
      <c r="G140" t="s">
        <v>906</v>
      </c>
      <c r="H140" t="s">
        <v>837</v>
      </c>
      <c r="I140" t="s">
        <v>907</v>
      </c>
      <c r="L140" t="s">
        <v>908</v>
      </c>
      <c r="M140">
        <v>150</v>
      </c>
      <c r="N140" t="s">
        <v>189</v>
      </c>
      <c r="Q140" s="1">
        <v>1320000</v>
      </c>
      <c r="R140" s="1">
        <v>0</v>
      </c>
      <c r="S140" s="1">
        <v>0</v>
      </c>
      <c r="T140" s="1">
        <f t="shared" si="2"/>
        <v>1320000</v>
      </c>
      <c r="U140" t="s">
        <v>841</v>
      </c>
      <c r="V140" t="s">
        <v>909</v>
      </c>
      <c r="W140" s="1">
        <v>1320000</v>
      </c>
      <c r="X140" s="1">
        <v>1320000</v>
      </c>
      <c r="Y140" s="1">
        <v>1320000</v>
      </c>
      <c r="Z140" s="1">
        <v>1320000</v>
      </c>
      <c r="AA140" s="1">
        <v>1320000</v>
      </c>
      <c r="AB140" t="s">
        <v>843</v>
      </c>
    </row>
    <row r="141" spans="1:28">
      <c r="A141" t="s">
        <v>910</v>
      </c>
      <c r="B141" t="s">
        <v>837</v>
      </c>
      <c r="C141">
        <v>160073</v>
      </c>
      <c r="D141">
        <v>427</v>
      </c>
      <c r="E141" t="s">
        <v>90</v>
      </c>
      <c r="F141">
        <v>2016</v>
      </c>
      <c r="G141" t="s">
        <v>876</v>
      </c>
      <c r="H141" t="s">
        <v>837</v>
      </c>
      <c r="I141" t="s">
        <v>911</v>
      </c>
      <c r="M141">
        <v>150</v>
      </c>
      <c r="N141" t="s">
        <v>54</v>
      </c>
      <c r="O141" t="s">
        <v>912</v>
      </c>
      <c r="Q141" s="1">
        <v>1320000</v>
      </c>
      <c r="R141" s="1">
        <v>0</v>
      </c>
      <c r="S141" s="1">
        <v>0</v>
      </c>
      <c r="T141" s="1">
        <f t="shared" si="2"/>
        <v>1320000</v>
      </c>
      <c r="U141" t="s">
        <v>841</v>
      </c>
      <c r="V141" t="s">
        <v>913</v>
      </c>
      <c r="W141" s="1">
        <v>1320000</v>
      </c>
      <c r="X141" s="1">
        <v>1320000</v>
      </c>
      <c r="Y141" s="1">
        <v>1320000</v>
      </c>
      <c r="Z141" s="1">
        <v>1320000</v>
      </c>
      <c r="AA141" s="1">
        <v>1320000</v>
      </c>
      <c r="AB141" t="s">
        <v>843</v>
      </c>
    </row>
    <row r="142" spans="1:28">
      <c r="A142" t="s">
        <v>914</v>
      </c>
      <c r="B142" t="s">
        <v>837</v>
      </c>
      <c r="C142">
        <v>193664</v>
      </c>
      <c r="D142">
        <v>409</v>
      </c>
      <c r="E142" t="s">
        <v>90</v>
      </c>
      <c r="F142">
        <v>2005</v>
      </c>
      <c r="G142" t="s">
        <v>915</v>
      </c>
      <c r="H142" t="s">
        <v>837</v>
      </c>
      <c r="I142" t="s">
        <v>916</v>
      </c>
      <c r="J142" t="s">
        <v>917</v>
      </c>
      <c r="K142" t="s">
        <v>918</v>
      </c>
      <c r="L142" t="s">
        <v>919</v>
      </c>
      <c r="M142">
        <v>150</v>
      </c>
      <c r="N142" t="s">
        <v>54</v>
      </c>
      <c r="Q142" s="1">
        <v>1320000</v>
      </c>
      <c r="R142" s="1">
        <v>0</v>
      </c>
      <c r="S142" s="1">
        <v>0</v>
      </c>
      <c r="T142" s="1">
        <f t="shared" si="2"/>
        <v>1320000</v>
      </c>
      <c r="U142" t="s">
        <v>841</v>
      </c>
      <c r="V142" t="s">
        <v>920</v>
      </c>
      <c r="W142" s="1">
        <v>1320000</v>
      </c>
      <c r="X142" s="1">
        <v>1320000</v>
      </c>
      <c r="Y142" s="1">
        <v>1320000</v>
      </c>
      <c r="Z142" s="1">
        <v>1320000</v>
      </c>
      <c r="AA142" s="1">
        <v>1320000</v>
      </c>
      <c r="AB142" t="s">
        <v>843</v>
      </c>
    </row>
    <row r="143" spans="1:28">
      <c r="A143" t="s">
        <v>921</v>
      </c>
      <c r="B143" t="s">
        <v>837</v>
      </c>
      <c r="C143">
        <v>200955</v>
      </c>
      <c r="D143">
        <v>405</v>
      </c>
      <c r="E143" t="s">
        <v>90</v>
      </c>
      <c r="F143">
        <v>2002</v>
      </c>
      <c r="G143" t="s">
        <v>922</v>
      </c>
      <c r="H143" t="s">
        <v>837</v>
      </c>
      <c r="I143" t="s">
        <v>923</v>
      </c>
      <c r="M143">
        <v>150</v>
      </c>
      <c r="N143" t="s">
        <v>54</v>
      </c>
      <c r="O143" t="s">
        <v>924</v>
      </c>
      <c r="Q143" s="1">
        <v>1320000</v>
      </c>
      <c r="R143" s="1">
        <v>0</v>
      </c>
      <c r="S143" s="1">
        <v>0</v>
      </c>
      <c r="T143" s="1">
        <f t="shared" si="2"/>
        <v>1320000</v>
      </c>
      <c r="U143" t="s">
        <v>841</v>
      </c>
      <c r="V143" t="s">
        <v>849</v>
      </c>
      <c r="W143" s="1">
        <v>1320000</v>
      </c>
      <c r="X143" s="1">
        <v>1320000</v>
      </c>
      <c r="Y143" s="1">
        <v>1320000</v>
      </c>
      <c r="Z143" s="1">
        <v>1320000</v>
      </c>
      <c r="AA143" s="1">
        <v>1320000</v>
      </c>
      <c r="AB143" t="s">
        <v>843</v>
      </c>
    </row>
    <row r="144" spans="1:28">
      <c r="A144" t="s">
        <v>925</v>
      </c>
      <c r="B144" t="s">
        <v>837</v>
      </c>
      <c r="C144">
        <v>342303</v>
      </c>
      <c r="D144">
        <v>339</v>
      </c>
      <c r="E144" t="s">
        <v>90</v>
      </c>
      <c r="F144">
        <v>2024</v>
      </c>
      <c r="G144" t="s">
        <v>926</v>
      </c>
      <c r="H144" t="s">
        <v>837</v>
      </c>
      <c r="I144" t="s">
        <v>927</v>
      </c>
      <c r="J144" t="s">
        <v>928</v>
      </c>
      <c r="K144" t="s">
        <v>929</v>
      </c>
      <c r="L144" t="s">
        <v>930</v>
      </c>
      <c r="M144">
        <v>150</v>
      </c>
      <c r="N144" t="s">
        <v>54</v>
      </c>
      <c r="Q144" s="1">
        <v>1320000</v>
      </c>
      <c r="R144" s="1">
        <v>0</v>
      </c>
      <c r="S144" s="1">
        <v>0</v>
      </c>
      <c r="T144" s="1">
        <f t="shared" si="2"/>
        <v>1320000</v>
      </c>
      <c r="U144" t="s">
        <v>841</v>
      </c>
      <c r="V144" t="s">
        <v>931</v>
      </c>
      <c r="W144" s="1">
        <v>1320000</v>
      </c>
      <c r="X144" s="1">
        <v>1320000</v>
      </c>
      <c r="Y144" s="1">
        <v>1320000</v>
      </c>
      <c r="Z144" s="1">
        <v>1320000</v>
      </c>
      <c r="AA144" s="1">
        <v>1320000</v>
      </c>
      <c r="AB144" t="s">
        <v>843</v>
      </c>
    </row>
  </sheetData>
  <pageMargins left="0.7" right="0.7" top="0.75" bottom="0.75" header="0.511811023622047" footer="0.511811023622047"/>
  <pageSetup paperSize="9" orientation="portrait" horizontalDpi="300" verticalDpi="300"/>
  <headerFooter/>
  <legacyDrawing r:id="rId2"/>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MBBS Cutoff 2025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Radhesham</cp:lastModifiedBy>
  <cp:revision>0</cp:revision>
  <dcterms:created xsi:type="dcterms:W3CDTF">2026-07-26T10:22:00Z</dcterms:created>
  <dcterms:modified xsi:type="dcterms:W3CDTF">2026-09-25T19:35:42Z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F56A88F9C35E47FEBDC4872E6E1D6933_12</vt:lpwstr>
  </property>
  <property fmtid="{D5CDD505-2E9C-101B-9397-08002B2CF9AE}" pid="3" name="KSOProductBuildVer">
    <vt:lpwstr>1033-12.1.0.28485</vt:lpwstr>
  </property>
  <property fmtid="{D5CDD505-2E9C-101B-9397-08002B2CF9AE}" pid="4" name="CalculationRule">
    <vt:i4>0</vt:i4>
  </property>
</Properties>
</file>